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Daan\Desktop\werk\Advisory&amp;Coauthor\Kathe\Field_2020_2021\Final analysis\Data\"/>
    </mc:Choice>
  </mc:AlternateContent>
  <xr:revisionPtr revIDLastSave="0" documentId="13_ncr:1_{0FDB9607-6745-4D73-9262-184747ECBFDA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2020" sheetId="1" r:id="rId1"/>
    <sheet name="2021" sheetId="2" r:id="rId2"/>
  </sheets>
  <definedNames>
    <definedName name="_xlnm._FilterDatabase" localSheetId="0" hidden="1">'2020'!$A$1:$X$360</definedName>
    <definedName name="_xlnm._FilterDatabase" localSheetId="1" hidden="1">'2021'!$A$1:$Y$388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Z388" i="1"/>
  <c r="Y388" i="1"/>
  <c r="Z387" i="1"/>
  <c r="Y387" i="1"/>
  <c r="Z386" i="1"/>
  <c r="Y386" i="1"/>
  <c r="Z385" i="1"/>
  <c r="Y385" i="1"/>
  <c r="Z384" i="1"/>
  <c r="Y384" i="1"/>
  <c r="Z383" i="1"/>
  <c r="Y383" i="1"/>
  <c r="Z382" i="1"/>
  <c r="Y382" i="1"/>
  <c r="Z381" i="1"/>
  <c r="Y381" i="1"/>
  <c r="Z380" i="1"/>
  <c r="Y380" i="1"/>
  <c r="Z379" i="1"/>
  <c r="Y379" i="1"/>
  <c r="Z378" i="1"/>
  <c r="Y378" i="1"/>
  <c r="Z377" i="1"/>
  <c r="Y377" i="1"/>
  <c r="Z376" i="1"/>
  <c r="Y376" i="1"/>
  <c r="Z375" i="1"/>
  <c r="Y375" i="1"/>
  <c r="Z374" i="1"/>
  <c r="Y374" i="1"/>
  <c r="Z373" i="1"/>
  <c r="Y373" i="1"/>
  <c r="Z372" i="1"/>
  <c r="Y372" i="1"/>
  <c r="Z371" i="1"/>
  <c r="Y371" i="1"/>
  <c r="Z370" i="1"/>
  <c r="Y370" i="1"/>
  <c r="Z369" i="1"/>
  <c r="Y369" i="1"/>
  <c r="Z368" i="1"/>
  <c r="Y368" i="1"/>
  <c r="Z367" i="1"/>
  <c r="Y367" i="1"/>
  <c r="Z366" i="1"/>
  <c r="Y366" i="1"/>
  <c r="Z365" i="1"/>
  <c r="Y365" i="1"/>
  <c r="Z364" i="1"/>
  <c r="Y364" i="1"/>
  <c r="Z363" i="1"/>
  <c r="Y363" i="1"/>
  <c r="Z362" i="1"/>
  <c r="Y362" i="1"/>
  <c r="Z361" i="1"/>
  <c r="Y361" i="1"/>
  <c r="Z360" i="1"/>
  <c r="Y360" i="1"/>
  <c r="Z359" i="1"/>
  <c r="Y359" i="1"/>
  <c r="Z358" i="1"/>
  <c r="Y358" i="1"/>
  <c r="Z357" i="1"/>
  <c r="Y357" i="1"/>
  <c r="Z356" i="1"/>
  <c r="Y356" i="1"/>
  <c r="Z355" i="1"/>
  <c r="Y355" i="1"/>
  <c r="Z354" i="1"/>
  <c r="Y354" i="1"/>
  <c r="Z353" i="1"/>
  <c r="Y353" i="1"/>
  <c r="Z352" i="1"/>
  <c r="Y352" i="1"/>
  <c r="Z351" i="1"/>
  <c r="Y351" i="1"/>
  <c r="Z350" i="1"/>
  <c r="Y350" i="1"/>
  <c r="Z349" i="1"/>
  <c r="Y349" i="1"/>
  <c r="Z348" i="1"/>
  <c r="Y348" i="1"/>
  <c r="Z347" i="1"/>
  <c r="Y347" i="1"/>
  <c r="Z346" i="1"/>
  <c r="Y346" i="1"/>
  <c r="Z345" i="1"/>
  <c r="Y345" i="1"/>
  <c r="Z344" i="1"/>
  <c r="Y344" i="1"/>
  <c r="Z343" i="1"/>
  <c r="Y343" i="1"/>
  <c r="Z342" i="1"/>
  <c r="Y342" i="1"/>
  <c r="Z341" i="1"/>
  <c r="Y341" i="1"/>
  <c r="Z340" i="1"/>
  <c r="Y340" i="1"/>
  <c r="Z339" i="1"/>
  <c r="Y339" i="1"/>
  <c r="Z338" i="1"/>
  <c r="Y338" i="1"/>
  <c r="Z337" i="1"/>
  <c r="Y337" i="1"/>
  <c r="Z336" i="1"/>
  <c r="Y336" i="1"/>
  <c r="Z335" i="1"/>
  <c r="Y335" i="1"/>
  <c r="Z334" i="1"/>
  <c r="Y334" i="1"/>
  <c r="Z333" i="1"/>
  <c r="Y333" i="1"/>
  <c r="Z332" i="1"/>
  <c r="Y332" i="1"/>
  <c r="Z331" i="1"/>
  <c r="Y331" i="1"/>
  <c r="Z330" i="1"/>
  <c r="Y330" i="1"/>
  <c r="Z329" i="1"/>
  <c r="Y329" i="1"/>
  <c r="Z328" i="1"/>
  <c r="Y328" i="1"/>
  <c r="Z327" i="1"/>
  <c r="Y327" i="1"/>
  <c r="Z326" i="1"/>
  <c r="Y326" i="1"/>
  <c r="Z325" i="1"/>
  <c r="Y325" i="1"/>
  <c r="Z324" i="1"/>
  <c r="Y324" i="1"/>
  <c r="Z323" i="1"/>
  <c r="Y323" i="1"/>
  <c r="Z322" i="1"/>
  <c r="Y322" i="1"/>
  <c r="Z321" i="1"/>
  <c r="Y321" i="1"/>
  <c r="Z320" i="1"/>
  <c r="Y320" i="1"/>
  <c r="Z319" i="1"/>
  <c r="Y319" i="1"/>
  <c r="Z318" i="1"/>
  <c r="Y318" i="1"/>
  <c r="Z317" i="1"/>
  <c r="Y317" i="1"/>
  <c r="Z316" i="1"/>
  <c r="Y316" i="1"/>
  <c r="Z315" i="1"/>
  <c r="Y315" i="1"/>
  <c r="Z314" i="1"/>
  <c r="Y314" i="1"/>
  <c r="Z313" i="1"/>
  <c r="Y313" i="1"/>
  <c r="Z312" i="1"/>
  <c r="Y312" i="1"/>
  <c r="Z311" i="1"/>
  <c r="Y311" i="1"/>
  <c r="Z310" i="1"/>
  <c r="Y310" i="1"/>
  <c r="Z309" i="1"/>
  <c r="Y309" i="1"/>
  <c r="Z308" i="1"/>
  <c r="Y308" i="1"/>
  <c r="Z307" i="1"/>
  <c r="Y307" i="1"/>
  <c r="Z306" i="1"/>
  <c r="Y306" i="1"/>
  <c r="Z305" i="1"/>
  <c r="Y305" i="1"/>
  <c r="Z304" i="1"/>
  <c r="Y304" i="1"/>
  <c r="Z303" i="1"/>
  <c r="Y303" i="1"/>
  <c r="Z302" i="1"/>
  <c r="Y302" i="1"/>
  <c r="Z301" i="1"/>
  <c r="Y301" i="1"/>
  <c r="Z300" i="1"/>
  <c r="Y300" i="1"/>
  <c r="Z299" i="1"/>
  <c r="Y299" i="1"/>
  <c r="Z298" i="1"/>
  <c r="Y298" i="1"/>
  <c r="Z297" i="1"/>
  <c r="Y297" i="1"/>
  <c r="Z296" i="1"/>
  <c r="Y296" i="1"/>
  <c r="Z295" i="1"/>
  <c r="Y295" i="1"/>
  <c r="Z294" i="1"/>
  <c r="Y294" i="1"/>
  <c r="Z293" i="1"/>
  <c r="Y293" i="1"/>
  <c r="Z292" i="1"/>
  <c r="Y292" i="1"/>
  <c r="Z291" i="1"/>
  <c r="Y291" i="1"/>
  <c r="Z290" i="1"/>
  <c r="Y290" i="1"/>
  <c r="Z289" i="1"/>
  <c r="Y289" i="1"/>
  <c r="Z288" i="1"/>
  <c r="Y288" i="1"/>
  <c r="Z287" i="1"/>
  <c r="Y287" i="1"/>
  <c r="Z286" i="1"/>
  <c r="Y286" i="1"/>
  <c r="Z285" i="1"/>
  <c r="Y285" i="1"/>
  <c r="Z284" i="1"/>
  <c r="Y284" i="1"/>
  <c r="Z283" i="1"/>
  <c r="Y283" i="1"/>
  <c r="Z282" i="1"/>
  <c r="Y282" i="1"/>
  <c r="Z281" i="1"/>
  <c r="Y281" i="1"/>
  <c r="Z280" i="1"/>
  <c r="Y280" i="1"/>
  <c r="Z279" i="1"/>
  <c r="Y279" i="1"/>
  <c r="Z278" i="1"/>
  <c r="Y278" i="1"/>
  <c r="Z277" i="1"/>
  <c r="Y277" i="1"/>
  <c r="Z276" i="1"/>
  <c r="Y276" i="1"/>
  <c r="Z275" i="1"/>
  <c r="Y275" i="1"/>
  <c r="Z274" i="1"/>
  <c r="Y274" i="1"/>
  <c r="Z273" i="1"/>
  <c r="Y273" i="1"/>
  <c r="Z272" i="1"/>
  <c r="Y272" i="1"/>
  <c r="Z271" i="1"/>
  <c r="Y271" i="1"/>
  <c r="Z270" i="1"/>
  <c r="Y270" i="1"/>
  <c r="Z269" i="1"/>
  <c r="Y269" i="1"/>
  <c r="Z268" i="1"/>
  <c r="Y268" i="1"/>
  <c r="Z267" i="1"/>
  <c r="Y267" i="1"/>
  <c r="Z266" i="1"/>
  <c r="Y266" i="1"/>
  <c r="Z265" i="1"/>
  <c r="Y265" i="1"/>
  <c r="Z264" i="1"/>
  <c r="Y264" i="1"/>
  <c r="Z263" i="1"/>
  <c r="Y263" i="1"/>
  <c r="Z262" i="1"/>
  <c r="Y262" i="1"/>
  <c r="Z261" i="1"/>
  <c r="Y261" i="1"/>
  <c r="Z260" i="1"/>
  <c r="Y260" i="1"/>
  <c r="Z259" i="1"/>
  <c r="Y259" i="1"/>
  <c r="Z258" i="1"/>
  <c r="Y258" i="1"/>
  <c r="Z257" i="1"/>
  <c r="Y257" i="1"/>
  <c r="Z256" i="1"/>
  <c r="Y256" i="1"/>
  <c r="Z255" i="1"/>
  <c r="Y255" i="1"/>
  <c r="Z254" i="1"/>
  <c r="Y254" i="1"/>
  <c r="Z253" i="1"/>
  <c r="Y253" i="1"/>
  <c r="Z252" i="1"/>
  <c r="Y252" i="1"/>
  <c r="Z251" i="1"/>
  <c r="Y251" i="1"/>
  <c r="Z250" i="1"/>
  <c r="Y250" i="1"/>
  <c r="Z249" i="1"/>
  <c r="Y249" i="1"/>
  <c r="Z248" i="1"/>
  <c r="Y248" i="1"/>
  <c r="Z247" i="1"/>
  <c r="Y247" i="1"/>
  <c r="Z246" i="1"/>
  <c r="Y246" i="1"/>
  <c r="Z245" i="1"/>
  <c r="Y245" i="1"/>
  <c r="Z244" i="1"/>
  <c r="Y244" i="1"/>
  <c r="Z243" i="1"/>
  <c r="Y243" i="1"/>
  <c r="Z242" i="1"/>
  <c r="Y242" i="1"/>
  <c r="Z241" i="1"/>
  <c r="Y241" i="1"/>
  <c r="Z240" i="1"/>
  <c r="Y240" i="1"/>
  <c r="Z239" i="1"/>
  <c r="Y239" i="1"/>
  <c r="Z238" i="1"/>
  <c r="Y238" i="1"/>
  <c r="Z237" i="1"/>
  <c r="Y237" i="1"/>
  <c r="Z236" i="1"/>
  <c r="Y236" i="1"/>
  <c r="Z235" i="1"/>
  <c r="Y235" i="1"/>
  <c r="Z234" i="1"/>
  <c r="Y234" i="1"/>
  <c r="Z233" i="1"/>
  <c r="Y233" i="1"/>
  <c r="Z232" i="1"/>
  <c r="Y232" i="1"/>
  <c r="Z231" i="1"/>
  <c r="Y231" i="1"/>
  <c r="Z230" i="1"/>
  <c r="Y230" i="1"/>
  <c r="Z229" i="1"/>
  <c r="Y229" i="1"/>
  <c r="Z228" i="1"/>
  <c r="Y228" i="1"/>
  <c r="Z227" i="1"/>
  <c r="Y227" i="1"/>
  <c r="Z226" i="1"/>
  <c r="Y226" i="1"/>
  <c r="Z225" i="1"/>
  <c r="Y225" i="1"/>
  <c r="Z224" i="1"/>
  <c r="Y224" i="1"/>
  <c r="Z223" i="1"/>
  <c r="Y223" i="1"/>
  <c r="Z222" i="1"/>
  <c r="Y222" i="1"/>
  <c r="Z221" i="1"/>
  <c r="Y221" i="1"/>
  <c r="Z220" i="1"/>
  <c r="Y220" i="1"/>
  <c r="Z219" i="1"/>
  <c r="Y219" i="1"/>
  <c r="Z218" i="1"/>
  <c r="Y218" i="1"/>
  <c r="Z217" i="1"/>
  <c r="Y217" i="1"/>
  <c r="Z216" i="1"/>
  <c r="Y216" i="1"/>
  <c r="Z215" i="1"/>
  <c r="Y215" i="1"/>
  <c r="Z214" i="1"/>
  <c r="Y214" i="1"/>
  <c r="Z213" i="1"/>
  <c r="Y213" i="1"/>
  <c r="Z212" i="1"/>
  <c r="Y212" i="1"/>
  <c r="Z211" i="1"/>
  <c r="Y211" i="1"/>
  <c r="Z210" i="1"/>
  <c r="Y210" i="1"/>
  <c r="Z209" i="1"/>
  <c r="Y209" i="1"/>
  <c r="Z208" i="1"/>
  <c r="Y208" i="1"/>
  <c r="Z207" i="1"/>
  <c r="Y207" i="1"/>
  <c r="Z206" i="1"/>
  <c r="Y206" i="1"/>
  <c r="Z205" i="1"/>
  <c r="Y205" i="1"/>
  <c r="Z204" i="1"/>
  <c r="Y204" i="1"/>
  <c r="Z203" i="1"/>
  <c r="Y203" i="1"/>
  <c r="Z202" i="1"/>
  <c r="Y202" i="1"/>
  <c r="Z201" i="1"/>
  <c r="Y201" i="1"/>
  <c r="Z200" i="1"/>
  <c r="Y200" i="1"/>
  <c r="Z199" i="1"/>
  <c r="Y199" i="1"/>
  <c r="Z198" i="1"/>
  <c r="Y198" i="1"/>
  <c r="Z197" i="1"/>
  <c r="Y197" i="1"/>
  <c r="Z196" i="1"/>
  <c r="Y196" i="1"/>
  <c r="Z195" i="1"/>
  <c r="Y195" i="1"/>
  <c r="Z194" i="1"/>
  <c r="Y194" i="1"/>
  <c r="Z193" i="1"/>
  <c r="Y193" i="1"/>
  <c r="Z192" i="1"/>
  <c r="Y192" i="1"/>
  <c r="Z191" i="1"/>
  <c r="Y191" i="1"/>
  <c r="Z190" i="1"/>
  <c r="Y190" i="1"/>
  <c r="Z189" i="1"/>
  <c r="Y189" i="1"/>
  <c r="Z188" i="1"/>
  <c r="Y188" i="1"/>
  <c r="Z187" i="1"/>
  <c r="Y187" i="1"/>
  <c r="Z186" i="1"/>
  <c r="Y186" i="1"/>
  <c r="Z185" i="1"/>
  <c r="Y185" i="1"/>
  <c r="Z184" i="1"/>
  <c r="Y184" i="1"/>
  <c r="Z183" i="1"/>
  <c r="Y183" i="1"/>
  <c r="Z182" i="1"/>
  <c r="Y182" i="1"/>
  <c r="Z181" i="1"/>
  <c r="Y181" i="1"/>
  <c r="Z180" i="1"/>
  <c r="Y180" i="1"/>
  <c r="Z179" i="1"/>
  <c r="Y179" i="1"/>
  <c r="Z178" i="1"/>
  <c r="Y178" i="1"/>
  <c r="Z177" i="1"/>
  <c r="Y177" i="1"/>
  <c r="Z176" i="1"/>
  <c r="Y176" i="1"/>
  <c r="Z175" i="1"/>
  <c r="Y175" i="1"/>
  <c r="Z174" i="1"/>
  <c r="Y174" i="1"/>
  <c r="Z173" i="1"/>
  <c r="Y173" i="1"/>
  <c r="Z172" i="1"/>
  <c r="Y172" i="1"/>
  <c r="Z171" i="1"/>
  <c r="Y171" i="1"/>
  <c r="Z170" i="1"/>
  <c r="Y170" i="1"/>
  <c r="Z169" i="1"/>
  <c r="Y169" i="1"/>
  <c r="Z168" i="1"/>
  <c r="Y168" i="1"/>
  <c r="Z167" i="1"/>
  <c r="Y167" i="1"/>
  <c r="Z166" i="1"/>
  <c r="Y166" i="1"/>
  <c r="Z165" i="1"/>
  <c r="Y165" i="1"/>
  <c r="Z164" i="1"/>
  <c r="Y164" i="1"/>
  <c r="Z163" i="1"/>
  <c r="Y163" i="1"/>
  <c r="Z162" i="1"/>
  <c r="Y162" i="1"/>
  <c r="Z161" i="1"/>
  <c r="Y161" i="1"/>
  <c r="Z160" i="1"/>
  <c r="Y160" i="1"/>
  <c r="Z159" i="1"/>
  <c r="Y159" i="1"/>
  <c r="Z158" i="1"/>
  <c r="Y158" i="1"/>
  <c r="Z157" i="1"/>
  <c r="Y157" i="1"/>
  <c r="Z156" i="1"/>
  <c r="Y156" i="1"/>
  <c r="Z155" i="1"/>
  <c r="Y155" i="1"/>
  <c r="Z154" i="1"/>
  <c r="Y154" i="1"/>
  <c r="Z153" i="1"/>
  <c r="Y153" i="1"/>
  <c r="Z152" i="1"/>
  <c r="Y152" i="1"/>
  <c r="Z151" i="1"/>
  <c r="Y151" i="1"/>
  <c r="Z150" i="1"/>
  <c r="Y150" i="1"/>
  <c r="Z149" i="1"/>
  <c r="Y149" i="1"/>
  <c r="Z148" i="1"/>
  <c r="Y148" i="1"/>
  <c r="Z147" i="1"/>
  <c r="Y147" i="1"/>
  <c r="Z146" i="1"/>
  <c r="Y146" i="1"/>
  <c r="Z145" i="1"/>
  <c r="Y145" i="1"/>
  <c r="Z144" i="1"/>
  <c r="Y144" i="1"/>
  <c r="Z143" i="1"/>
  <c r="Y143" i="1"/>
  <c r="Z142" i="1"/>
  <c r="Y142" i="1"/>
  <c r="Z141" i="1"/>
  <c r="Y141" i="1"/>
  <c r="Z140" i="1"/>
  <c r="Y140" i="1"/>
  <c r="Z139" i="1"/>
  <c r="Y139" i="1"/>
  <c r="Z138" i="1"/>
  <c r="Y138" i="1"/>
  <c r="Z137" i="1"/>
  <c r="Y137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Z108" i="1"/>
  <c r="Y108" i="1"/>
  <c r="Z107" i="1"/>
  <c r="Y107" i="1"/>
  <c r="Z106" i="1"/>
  <c r="Y106" i="1"/>
  <c r="Z105" i="1"/>
  <c r="Y105" i="1"/>
  <c r="Z104" i="1"/>
  <c r="Y104" i="1"/>
  <c r="Z103" i="1"/>
  <c r="Y103" i="1"/>
  <c r="Z102" i="1"/>
  <c r="Y102" i="1"/>
  <c r="Z101" i="1"/>
  <c r="Y101" i="1"/>
  <c r="Z100" i="1"/>
  <c r="Y100" i="1"/>
  <c r="Z99" i="1"/>
  <c r="Y99" i="1"/>
  <c r="Z98" i="1"/>
  <c r="Y98" i="1"/>
  <c r="Z97" i="1"/>
  <c r="Y97" i="1"/>
  <c r="Z96" i="1"/>
  <c r="Y96" i="1"/>
  <c r="Z95" i="1"/>
  <c r="Y95" i="1"/>
  <c r="Z94" i="1"/>
  <c r="Y94" i="1"/>
  <c r="Z93" i="1"/>
  <c r="Y93" i="1"/>
  <c r="Z92" i="1"/>
  <c r="Y92" i="1"/>
  <c r="Z91" i="1"/>
  <c r="Y91" i="1"/>
  <c r="Z90" i="1"/>
  <c r="Y90" i="1"/>
  <c r="Z89" i="1"/>
  <c r="Y89" i="1"/>
  <c r="Z88" i="1"/>
  <c r="Y88" i="1"/>
  <c r="Z87" i="1"/>
  <c r="Y87" i="1"/>
  <c r="Z86" i="1"/>
  <c r="Y86" i="1"/>
  <c r="Z85" i="1"/>
  <c r="Y85" i="1"/>
  <c r="Z84" i="1"/>
  <c r="Y84" i="1"/>
  <c r="Z83" i="1"/>
  <c r="Y83" i="1"/>
  <c r="Z82" i="1"/>
  <c r="Y82" i="1"/>
  <c r="Z81" i="1"/>
  <c r="Y81" i="1"/>
  <c r="Z80" i="1"/>
  <c r="Y80" i="1"/>
  <c r="Z79" i="1"/>
  <c r="Y79" i="1"/>
  <c r="Z78" i="1"/>
  <c r="Y78" i="1"/>
  <c r="Z77" i="1"/>
  <c r="Y77" i="1"/>
  <c r="Z76" i="1"/>
  <c r="Y76" i="1"/>
  <c r="Z75" i="1"/>
  <c r="Y75" i="1"/>
  <c r="Z74" i="1"/>
  <c r="Y74" i="1"/>
  <c r="Z73" i="1"/>
  <c r="Y73" i="1"/>
  <c r="Z72" i="1"/>
  <c r="Y72" i="1"/>
  <c r="Z71" i="1"/>
  <c r="Y71" i="1"/>
  <c r="Z70" i="1"/>
  <c r="Y70" i="1"/>
  <c r="Z69" i="1"/>
  <c r="Y69" i="1"/>
  <c r="Z68" i="1"/>
  <c r="Y68" i="1"/>
  <c r="Z67" i="1"/>
  <c r="Y67" i="1"/>
  <c r="Z66" i="1"/>
  <c r="Y66" i="1"/>
  <c r="Z65" i="1"/>
  <c r="Y65" i="1"/>
  <c r="Z64" i="1"/>
  <c r="Y64" i="1"/>
  <c r="Z63" i="1"/>
  <c r="Y63" i="1"/>
  <c r="Z62" i="1"/>
  <c r="Y62" i="1"/>
  <c r="Z61" i="1"/>
  <c r="Y61" i="1"/>
  <c r="Z60" i="1"/>
  <c r="Y60" i="1"/>
  <c r="Z59" i="1"/>
  <c r="Y59" i="1"/>
  <c r="Z58" i="1"/>
  <c r="Y58" i="1"/>
  <c r="Z57" i="1"/>
  <c r="Y57" i="1"/>
  <c r="Z56" i="1"/>
  <c r="Y56" i="1"/>
  <c r="Z55" i="1"/>
  <c r="Y55" i="1"/>
  <c r="Z54" i="1"/>
  <c r="Y54" i="1"/>
  <c r="Z53" i="1"/>
  <c r="Y53" i="1"/>
  <c r="Z52" i="1"/>
  <c r="Y52" i="1"/>
  <c r="Z51" i="1"/>
  <c r="Y51" i="1"/>
  <c r="Z50" i="1"/>
  <c r="Y50" i="1"/>
  <c r="Z49" i="1"/>
  <c r="Y49" i="1"/>
  <c r="Z48" i="1"/>
  <c r="Y48" i="1"/>
  <c r="Z47" i="1"/>
  <c r="Y47" i="1"/>
  <c r="Z46" i="1"/>
  <c r="Y46" i="1"/>
  <c r="Z45" i="1"/>
  <c r="Y45" i="1"/>
  <c r="Z44" i="1"/>
  <c r="Y44" i="1"/>
  <c r="Z43" i="1"/>
  <c r="Y43" i="1"/>
  <c r="Z42" i="1"/>
  <c r="Y42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Z4" i="1"/>
  <c r="Y4" i="1"/>
  <c r="Z3" i="1"/>
  <c r="Y3" i="1"/>
  <c r="Y2" i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2" i="2"/>
</calcChain>
</file>

<file path=xl/sharedStrings.xml><?xml version="1.0" encoding="utf-8"?>
<sst xmlns="http://schemas.openxmlformats.org/spreadsheetml/2006/main" count="2491" uniqueCount="797">
  <si>
    <t>ID</t>
  </si>
  <si>
    <t>Treatment</t>
  </si>
  <si>
    <t>Block</t>
  </si>
  <si>
    <t>WidthT1</t>
  </si>
  <si>
    <t>WidthT2</t>
  </si>
  <si>
    <t>NflowT1</t>
  </si>
  <si>
    <t>HeightT1</t>
  </si>
  <si>
    <t>NflowT2</t>
  </si>
  <si>
    <t>HeightT2</t>
  </si>
  <si>
    <t>Nseeds</t>
  </si>
  <si>
    <t>Tsyrphid</t>
  </si>
  <si>
    <t>THBee</t>
  </si>
  <si>
    <t>TSBee</t>
  </si>
  <si>
    <t>TBBee</t>
  </si>
  <si>
    <t>Tsyrphid2</t>
  </si>
  <si>
    <t>TOFlies2</t>
  </si>
  <si>
    <t>TSBee2</t>
  </si>
  <si>
    <t>TBBee2</t>
  </si>
  <si>
    <t>Nflowvisited2</t>
  </si>
  <si>
    <t>C</t>
  </si>
  <si>
    <t>a</t>
  </si>
  <si>
    <t xml:space="preserve"> </t>
  </si>
  <si>
    <t>BSF</t>
  </si>
  <si>
    <t>HC</t>
  </si>
  <si>
    <t>MW</t>
  </si>
  <si>
    <t>OF</t>
  </si>
  <si>
    <t>CHT</t>
  </si>
  <si>
    <t>b</t>
  </si>
  <si>
    <t>c</t>
  </si>
  <si>
    <t>Plant_Code</t>
  </si>
  <si>
    <t>C_a_1</t>
  </si>
  <si>
    <t>C_a_2</t>
  </si>
  <si>
    <t>C_a_3</t>
  </si>
  <si>
    <t>C_a_4</t>
  </si>
  <si>
    <t>C_a_5</t>
  </si>
  <si>
    <t>C_a_6</t>
  </si>
  <si>
    <t>C_a_7</t>
  </si>
  <si>
    <t>C_a_8</t>
  </si>
  <si>
    <t>C_a_9</t>
  </si>
  <si>
    <t>C_a_10</t>
  </si>
  <si>
    <t>C_a_11</t>
  </si>
  <si>
    <t>C_a_12</t>
  </si>
  <si>
    <t>C_a_13</t>
  </si>
  <si>
    <t>C_a_14</t>
  </si>
  <si>
    <t>C_a_15</t>
  </si>
  <si>
    <t>C_a_16</t>
  </si>
  <si>
    <t>C_a_17</t>
  </si>
  <si>
    <t>C_a_18</t>
  </si>
  <si>
    <t>C_a_19</t>
  </si>
  <si>
    <t>C_a_20</t>
  </si>
  <si>
    <t>BSF_a_1</t>
  </si>
  <si>
    <t>BSF_a_2</t>
  </si>
  <si>
    <t>BSF_a_3</t>
  </si>
  <si>
    <t>BSF_a_4</t>
  </si>
  <si>
    <t>BSF_a_5</t>
  </si>
  <si>
    <t>BSF_a_6</t>
  </si>
  <si>
    <t>BSF_a_7</t>
  </si>
  <si>
    <t>BSF_a_8</t>
  </si>
  <si>
    <t>BSF_a_9</t>
  </si>
  <si>
    <t>BSF_a_10</t>
  </si>
  <si>
    <t>BSF_a_11</t>
  </si>
  <si>
    <t>BSF_a_12</t>
  </si>
  <si>
    <t>BSF_a_13</t>
  </si>
  <si>
    <t>BSF_a_14</t>
  </si>
  <si>
    <t>BSF_a_15</t>
  </si>
  <si>
    <t>BSF_a_16</t>
  </si>
  <si>
    <t>BSF_a_17</t>
  </si>
  <si>
    <t>BSF_a_18</t>
  </si>
  <si>
    <t>BSF_a_19</t>
  </si>
  <si>
    <t>BSF_a_20</t>
  </si>
  <si>
    <t>HC_a_1</t>
  </si>
  <si>
    <t>HC_a_2</t>
  </si>
  <si>
    <t>HC_a_3</t>
  </si>
  <si>
    <t>HC_a_4</t>
  </si>
  <si>
    <t>HC_a_5</t>
  </si>
  <si>
    <t>HC_a_6</t>
  </si>
  <si>
    <t>HC_a_7</t>
  </si>
  <si>
    <t>HC_a_8</t>
  </si>
  <si>
    <t>HC_a_9</t>
  </si>
  <si>
    <t>HC_a_10</t>
  </si>
  <si>
    <t>HC_a_11</t>
  </si>
  <si>
    <t>HC_a_12</t>
  </si>
  <si>
    <t>HC_a_13</t>
  </si>
  <si>
    <t>HC_a_14</t>
  </si>
  <si>
    <t>HC_a_15</t>
  </si>
  <si>
    <t>HC_a_16</t>
  </si>
  <si>
    <t>HC_a_17</t>
  </si>
  <si>
    <t>HC_a_18</t>
  </si>
  <si>
    <t>HC_a_19</t>
  </si>
  <si>
    <t>HC_a_20</t>
  </si>
  <si>
    <t>MW_a_1</t>
  </si>
  <si>
    <t>MW_a_2</t>
  </si>
  <si>
    <t>MW_a_3</t>
  </si>
  <si>
    <t>MW_a_4</t>
  </si>
  <si>
    <t>MW_a_5</t>
  </si>
  <si>
    <t>MW_a_6</t>
  </si>
  <si>
    <t>MW_a_7</t>
  </si>
  <si>
    <t>MW_a_8</t>
  </si>
  <si>
    <t>MW_a_9</t>
  </si>
  <si>
    <t>MW_a_10</t>
  </si>
  <si>
    <t>MW_a_11</t>
  </si>
  <si>
    <t>MW_a_12</t>
  </si>
  <si>
    <t>MW_a_13</t>
  </si>
  <si>
    <t>MW_a_14</t>
  </si>
  <si>
    <t>MW_a_15</t>
  </si>
  <si>
    <t>MW_a_16</t>
  </si>
  <si>
    <t>MW_a_17</t>
  </si>
  <si>
    <t>MW_a_18</t>
  </si>
  <si>
    <t>MW_a_19</t>
  </si>
  <si>
    <t>MW_a_20</t>
  </si>
  <si>
    <t>OF_a_1</t>
  </si>
  <si>
    <t>OF_a_2</t>
  </si>
  <si>
    <t>OF_a_3</t>
  </si>
  <si>
    <t>OF_a_4</t>
  </si>
  <si>
    <t>OF_a_5</t>
  </si>
  <si>
    <t>OF_a_6</t>
  </si>
  <si>
    <t>OF_a_7</t>
  </si>
  <si>
    <t>OF_a_8</t>
  </si>
  <si>
    <t>OF_a_9</t>
  </si>
  <si>
    <t>OF_a_10</t>
  </si>
  <si>
    <t>OF_a_11</t>
  </si>
  <si>
    <t>OF_a_12</t>
  </si>
  <si>
    <t>OF_a_13</t>
  </si>
  <si>
    <t>OF_a_14</t>
  </si>
  <si>
    <t>OF_a_15</t>
  </si>
  <si>
    <t>OF_a_16</t>
  </si>
  <si>
    <t>OF_a_17</t>
  </si>
  <si>
    <t>OF_a_18</t>
  </si>
  <si>
    <t>OF_a_19</t>
  </si>
  <si>
    <t>OF_a_20</t>
  </si>
  <si>
    <t>CHT_a_1</t>
  </si>
  <si>
    <t>CHT_a_2</t>
  </si>
  <si>
    <t>CHT_a_3</t>
  </si>
  <si>
    <t>CHT_a_4</t>
  </si>
  <si>
    <t>CHT_a_5</t>
  </si>
  <si>
    <t>CHT_a_6</t>
  </si>
  <si>
    <t>CHT_a_7</t>
  </si>
  <si>
    <t>CHT_a_8</t>
  </si>
  <si>
    <t>CHT_a_9</t>
  </si>
  <si>
    <t>CHT_a_10</t>
  </si>
  <si>
    <t>CHT_a_11</t>
  </si>
  <si>
    <t>CHT_a_12</t>
  </si>
  <si>
    <t>CHT_a_13</t>
  </si>
  <si>
    <t>CHT_a_14</t>
  </si>
  <si>
    <t>CHT_a_15</t>
  </si>
  <si>
    <t>CHT_a_16</t>
  </si>
  <si>
    <t>CHT_a_17</t>
  </si>
  <si>
    <t>CHT_a_18</t>
  </si>
  <si>
    <t>CHT_a_19</t>
  </si>
  <si>
    <t>CHT_a_20</t>
  </si>
  <si>
    <t>C_b_21</t>
  </si>
  <si>
    <t>C_b_22</t>
  </si>
  <si>
    <t>C_b_23</t>
  </si>
  <si>
    <t>C_b_24</t>
  </si>
  <si>
    <t>C_b_25</t>
  </si>
  <si>
    <t>C_b_26</t>
  </si>
  <si>
    <t>C_b_27</t>
  </si>
  <si>
    <t>C_b_28</t>
  </si>
  <si>
    <t>C_b_29</t>
  </si>
  <si>
    <t>C_b_30</t>
  </si>
  <si>
    <t>C_b_31</t>
  </si>
  <si>
    <t>C_b_32</t>
  </si>
  <si>
    <t>C_b_33</t>
  </si>
  <si>
    <t>C_b_34</t>
  </si>
  <si>
    <t>C_b_35</t>
  </si>
  <si>
    <t>C_b_36</t>
  </si>
  <si>
    <t>C_b_37</t>
  </si>
  <si>
    <t>C_b_38</t>
  </si>
  <si>
    <t>C_b_39</t>
  </si>
  <si>
    <t>C_b_40</t>
  </si>
  <si>
    <t>BSF_b_21</t>
  </si>
  <si>
    <t>BSF_b_22</t>
  </si>
  <si>
    <t>BSF_b_23</t>
  </si>
  <si>
    <t>BSF_b_24</t>
  </si>
  <si>
    <t>BSF_b_25</t>
  </si>
  <si>
    <t>BSF_b_26</t>
  </si>
  <si>
    <t>BSF_b_27</t>
  </si>
  <si>
    <t>BSF_b_28</t>
  </si>
  <si>
    <t>BSF_b_29</t>
  </si>
  <si>
    <t>BSF_b_30</t>
  </si>
  <si>
    <t>BSF_b_31</t>
  </si>
  <si>
    <t>BSF_b_32</t>
  </si>
  <si>
    <t>BSF_b_33</t>
  </si>
  <si>
    <t>BSF_b_34</t>
  </si>
  <si>
    <t>BSF_b_35</t>
  </si>
  <si>
    <t>BSF_b_36</t>
  </si>
  <si>
    <t>BSF_b_37</t>
  </si>
  <si>
    <t>BSF_b_38</t>
  </si>
  <si>
    <t>BSF_b_39</t>
  </si>
  <si>
    <t>BSF_b_40</t>
  </si>
  <si>
    <t>HC_b_21</t>
  </si>
  <si>
    <t>HC_b_22</t>
  </si>
  <si>
    <t>HC_b_23</t>
  </si>
  <si>
    <t>HC_b_24</t>
  </si>
  <si>
    <t>HC_b_25</t>
  </si>
  <si>
    <t>HC_b_26</t>
  </si>
  <si>
    <t>HC_b_27</t>
  </si>
  <si>
    <t>HC_b_28</t>
  </si>
  <si>
    <t>HC_b_29</t>
  </si>
  <si>
    <t>HC_b_30</t>
  </si>
  <si>
    <t>HC_b_31</t>
  </si>
  <si>
    <t>HC_b_32</t>
  </si>
  <si>
    <t>HC_b_33</t>
  </si>
  <si>
    <t>HC_b_34</t>
  </si>
  <si>
    <t>HC_b_35</t>
  </si>
  <si>
    <t>HC_b_36</t>
  </si>
  <si>
    <t>HC_b_37</t>
  </si>
  <si>
    <t>HC_b_38</t>
  </si>
  <si>
    <t>HC_b_39</t>
  </si>
  <si>
    <t>HC_b_40</t>
  </si>
  <si>
    <t>MW_b_21</t>
  </si>
  <si>
    <t>MW_b_22</t>
  </si>
  <si>
    <t>MW_b_23</t>
  </si>
  <si>
    <t>MW_b_24</t>
  </si>
  <si>
    <t>MW_b_25</t>
  </si>
  <si>
    <t>MW_b_26</t>
  </si>
  <si>
    <t>MW_b_27</t>
  </si>
  <si>
    <t>MW_b_28</t>
  </si>
  <si>
    <t>MW_b_29</t>
  </si>
  <si>
    <t>MW_b_30</t>
  </si>
  <si>
    <t>MW_b_31</t>
  </si>
  <si>
    <t>MW_b_32</t>
  </si>
  <si>
    <t>MW_b_33</t>
  </si>
  <si>
    <t>MW_b_34</t>
  </si>
  <si>
    <t>MW_b_35</t>
  </si>
  <si>
    <t>MW_b_36</t>
  </si>
  <si>
    <t>MW_b_37</t>
  </si>
  <si>
    <t>MW_b_38</t>
  </si>
  <si>
    <t>MW_b_39</t>
  </si>
  <si>
    <t>MW_b_40</t>
  </si>
  <si>
    <t>OF_b_21</t>
  </si>
  <si>
    <t>OF_b_22</t>
  </si>
  <si>
    <t>OF_b_23</t>
  </si>
  <si>
    <t>OF_b_24</t>
  </si>
  <si>
    <t>OF_b_25</t>
  </si>
  <si>
    <t>OF_b_26</t>
  </si>
  <si>
    <t>OF_b_27</t>
  </si>
  <si>
    <t>OF_b_28</t>
  </si>
  <si>
    <t>OF_b_29</t>
  </si>
  <si>
    <t>OF_b_30</t>
  </si>
  <si>
    <t>OF_b_31</t>
  </si>
  <si>
    <t>OF_b_32</t>
  </si>
  <si>
    <t>OF_b_33</t>
  </si>
  <si>
    <t>OF_b_34</t>
  </si>
  <si>
    <t>OF_b_35</t>
  </si>
  <si>
    <t>OF_b_36</t>
  </si>
  <si>
    <t>OF_b_37</t>
  </si>
  <si>
    <t>OF_b_38</t>
  </si>
  <si>
    <t>OF_b_39</t>
  </si>
  <si>
    <t>OF_b_40</t>
  </si>
  <si>
    <t>C_c_41</t>
  </si>
  <si>
    <t>C_c_42</t>
  </si>
  <si>
    <t>C_c_43</t>
  </si>
  <si>
    <t>C_c_44</t>
  </si>
  <si>
    <t>C_c_45</t>
  </si>
  <si>
    <t>C_c_46</t>
  </si>
  <si>
    <t>C_c_47</t>
  </si>
  <si>
    <t>C_c_48</t>
  </si>
  <si>
    <t>C_c_49</t>
  </si>
  <si>
    <t>C_c_50</t>
  </si>
  <si>
    <t>C_c_51</t>
  </si>
  <si>
    <t>C_c_52</t>
  </si>
  <si>
    <t>C_c_53</t>
  </si>
  <si>
    <t>C_c_54</t>
  </si>
  <si>
    <t>C_c_55</t>
  </si>
  <si>
    <t>C_c_56</t>
  </si>
  <si>
    <t>C_c_57</t>
  </si>
  <si>
    <t>C_c_58</t>
  </si>
  <si>
    <t>C_c_59</t>
  </si>
  <si>
    <t>C_c_60</t>
  </si>
  <si>
    <t>C_c_61</t>
  </si>
  <si>
    <t>C_c_62</t>
  </si>
  <si>
    <t>C_c_63</t>
  </si>
  <si>
    <t>BSF_c_41</t>
  </si>
  <si>
    <t>BSF_c_42</t>
  </si>
  <si>
    <t>BSF_c_43</t>
  </si>
  <si>
    <t>BSF_c_44</t>
  </si>
  <si>
    <t>BSF_c_45</t>
  </si>
  <si>
    <t>BSF_c_46</t>
  </si>
  <si>
    <t>BSF_c_47</t>
  </si>
  <si>
    <t>BSF_c_48</t>
  </si>
  <si>
    <t>BSF_c_49</t>
  </si>
  <si>
    <t>BSF_c_50</t>
  </si>
  <si>
    <t>BSF_c_51</t>
  </si>
  <si>
    <t>BSF_c_52</t>
  </si>
  <si>
    <t>BSF_c_53</t>
  </si>
  <si>
    <t>BSF_c_54</t>
  </si>
  <si>
    <t>BSF_c_55</t>
  </si>
  <si>
    <t>BSF_c_56</t>
  </si>
  <si>
    <t>BSF_c_57</t>
  </si>
  <si>
    <t>BSF_c_58</t>
  </si>
  <si>
    <t>BSF_c_59</t>
  </si>
  <si>
    <t>BSF_c_60</t>
  </si>
  <si>
    <t>BSF_c_61</t>
  </si>
  <si>
    <t>BSF_c_62</t>
  </si>
  <si>
    <t>BSF_c_63</t>
  </si>
  <si>
    <t>BSF_c_64</t>
  </si>
  <si>
    <t>HC_c_41</t>
  </si>
  <si>
    <t>HC_c_42</t>
  </si>
  <si>
    <t>HC_c_43</t>
  </si>
  <si>
    <t>HC_c_44</t>
  </si>
  <si>
    <t>HC_c_45</t>
  </si>
  <si>
    <t>HC_c_46</t>
  </si>
  <si>
    <t>HC_c_47</t>
  </si>
  <si>
    <t>HC_c_48</t>
  </si>
  <si>
    <t>HC_c_49</t>
  </si>
  <si>
    <t>HC_c_50</t>
  </si>
  <si>
    <t>HC_c_51</t>
  </si>
  <si>
    <t>HC_c_52</t>
  </si>
  <si>
    <t>HC_c_53</t>
  </si>
  <si>
    <t>HC_c_54</t>
  </si>
  <si>
    <t>HC_c_55</t>
  </si>
  <si>
    <t>HC_c_56</t>
  </si>
  <si>
    <t>HC_c_57</t>
  </si>
  <si>
    <t>HC_c_58</t>
  </si>
  <si>
    <t>HC_c_59</t>
  </si>
  <si>
    <t>HC_c_60</t>
  </si>
  <si>
    <t>HC_c_61</t>
  </si>
  <si>
    <t>HC_c_62</t>
  </si>
  <si>
    <t>HC_c_63</t>
  </si>
  <si>
    <t>HC_c_64</t>
  </si>
  <si>
    <t>MW_c_41</t>
  </si>
  <si>
    <t>MW_c_42</t>
  </si>
  <si>
    <t>MW_c_43</t>
  </si>
  <si>
    <t>MW_c_44</t>
  </si>
  <si>
    <t>MW_c_45</t>
  </si>
  <si>
    <t>MW_c_46</t>
  </si>
  <si>
    <t>MW_c_47</t>
  </si>
  <si>
    <t>MW_c_48</t>
  </si>
  <si>
    <t>MW_c_49</t>
  </si>
  <si>
    <t>MW_c_50</t>
  </si>
  <si>
    <t>MW_c_51</t>
  </si>
  <si>
    <t>MW_c_52</t>
  </si>
  <si>
    <t>MW_c_53</t>
  </si>
  <si>
    <t>MW_c_54</t>
  </si>
  <si>
    <t>MW_c_55</t>
  </si>
  <si>
    <t>MW_c_56</t>
  </si>
  <si>
    <t>MW_c_57</t>
  </si>
  <si>
    <t>MW_c_58</t>
  </si>
  <si>
    <t>MW_c_59</t>
  </si>
  <si>
    <t>MW_c_60</t>
  </si>
  <si>
    <t>MW_c_61</t>
  </si>
  <si>
    <t>MW_c_62</t>
  </si>
  <si>
    <t>MW_c_63</t>
  </si>
  <si>
    <t>MW_c_64</t>
  </si>
  <si>
    <t>OF_c_41</t>
  </si>
  <si>
    <t>OF_c_42</t>
  </si>
  <si>
    <t>OF_c_43</t>
  </si>
  <si>
    <t>OF_c_44</t>
  </si>
  <si>
    <t>OF_c_45</t>
  </si>
  <si>
    <t>OF_c_46</t>
  </si>
  <si>
    <t>OF_c_47</t>
  </si>
  <si>
    <t>OF_c_48</t>
  </si>
  <si>
    <t>OF_c_49</t>
  </si>
  <si>
    <t>OF_c_50</t>
  </si>
  <si>
    <t>OF_c_51</t>
  </si>
  <si>
    <t>OF_c_52</t>
  </si>
  <si>
    <t>OF_c_53</t>
  </si>
  <si>
    <t>OF_c_54</t>
  </si>
  <si>
    <t>OF_c_55</t>
  </si>
  <si>
    <t>OF_c_56</t>
  </si>
  <si>
    <t>OF_c_57</t>
  </si>
  <si>
    <t>OF_c_58</t>
  </si>
  <si>
    <t>OF_c_59</t>
  </si>
  <si>
    <t>OF_c_60</t>
  </si>
  <si>
    <t>OF_c_61</t>
  </si>
  <si>
    <t>OF_c_62</t>
  </si>
  <si>
    <t>OF_c_63</t>
  </si>
  <si>
    <t>CHT_c_41</t>
  </si>
  <si>
    <t>CHT_c_42</t>
  </si>
  <si>
    <t>CHT_c_43</t>
  </si>
  <si>
    <t>CHT_c_44</t>
  </si>
  <si>
    <t>CHT_c_45</t>
  </si>
  <si>
    <t>CHT_c_46</t>
  </si>
  <si>
    <t>CHT_c_47</t>
  </si>
  <si>
    <t>CHT_c_48</t>
  </si>
  <si>
    <t>CHT_c_49</t>
  </si>
  <si>
    <t>CHT_c_50</t>
  </si>
  <si>
    <t>CHT_c_51</t>
  </si>
  <si>
    <t>CHT_c_52</t>
  </si>
  <si>
    <t>CHT_c_53</t>
  </si>
  <si>
    <t>CHT_c_54</t>
  </si>
  <si>
    <t>CHT_c_55</t>
  </si>
  <si>
    <t>CHT_c_56</t>
  </si>
  <si>
    <t>CHT_c_57</t>
  </si>
  <si>
    <t>CHT_c_58</t>
  </si>
  <si>
    <t>CHT_c_59</t>
  </si>
  <si>
    <t>CHT_c_60</t>
  </si>
  <si>
    <t>CHT_c_61</t>
  </si>
  <si>
    <t>TOFlies</t>
  </si>
  <si>
    <t>Nflowvisited1</t>
  </si>
  <si>
    <t>THBee2</t>
  </si>
  <si>
    <t>1BSF</t>
  </si>
  <si>
    <t>2BSF</t>
  </si>
  <si>
    <t>3BSF</t>
  </si>
  <si>
    <t>4BSF</t>
  </si>
  <si>
    <t>5BSF</t>
  </si>
  <si>
    <t>6BSF</t>
  </si>
  <si>
    <t>6BSFR</t>
  </si>
  <si>
    <t>R6</t>
  </si>
  <si>
    <t>7BSF</t>
  </si>
  <si>
    <t>7BSFR</t>
  </si>
  <si>
    <t>R7</t>
  </si>
  <si>
    <t>8BSF</t>
  </si>
  <si>
    <t>9BSF</t>
  </si>
  <si>
    <t>10BSF</t>
  </si>
  <si>
    <t>11BSF</t>
  </si>
  <si>
    <t>12BSF</t>
  </si>
  <si>
    <t>13BSF</t>
  </si>
  <si>
    <t>14BSF</t>
  </si>
  <si>
    <t>15BSF</t>
  </si>
  <si>
    <t>16BSF</t>
  </si>
  <si>
    <t xml:space="preserve">17BSF </t>
  </si>
  <si>
    <t>18BSF</t>
  </si>
  <si>
    <t>19BSF</t>
  </si>
  <si>
    <t>20BSF</t>
  </si>
  <si>
    <t>21BSF</t>
  </si>
  <si>
    <t>22BSF</t>
  </si>
  <si>
    <t>23BSF</t>
  </si>
  <si>
    <t>24BSF</t>
  </si>
  <si>
    <t>25BSF</t>
  </si>
  <si>
    <t>26BSF</t>
  </si>
  <si>
    <t>27BSF</t>
  </si>
  <si>
    <t>28BSF</t>
  </si>
  <si>
    <t>29BSF</t>
  </si>
  <si>
    <t>30BSF</t>
  </si>
  <si>
    <t>31BSF</t>
  </si>
  <si>
    <t>32BSF</t>
  </si>
  <si>
    <t>33BSF</t>
  </si>
  <si>
    <t>34BSF</t>
  </si>
  <si>
    <t>35BSF</t>
  </si>
  <si>
    <t>36BSF</t>
  </si>
  <si>
    <t>37BSF</t>
  </si>
  <si>
    <t>38BSF</t>
  </si>
  <si>
    <t>38BSFR</t>
  </si>
  <si>
    <t>R38</t>
  </si>
  <si>
    <t>39BSF</t>
  </si>
  <si>
    <t>40BSF</t>
  </si>
  <si>
    <t>41BSF</t>
  </si>
  <si>
    <t>42BSF</t>
  </si>
  <si>
    <t>43BSF</t>
  </si>
  <si>
    <t>44BSF</t>
  </si>
  <si>
    <t>45BSF</t>
  </si>
  <si>
    <t>46BSF</t>
  </si>
  <si>
    <t>47BSF</t>
  </si>
  <si>
    <t>48BSF</t>
  </si>
  <si>
    <t>49BSF</t>
  </si>
  <si>
    <t>50BSF</t>
  </si>
  <si>
    <t>51BSF</t>
  </si>
  <si>
    <t>52BSF</t>
  </si>
  <si>
    <t>53BSF</t>
  </si>
  <si>
    <t>54BSF</t>
  </si>
  <si>
    <t>55BSF</t>
  </si>
  <si>
    <t>56BSF</t>
  </si>
  <si>
    <t>57BSF</t>
  </si>
  <si>
    <t>58BSF</t>
  </si>
  <si>
    <t>59BSF</t>
  </si>
  <si>
    <t>60BSF</t>
  </si>
  <si>
    <t>61BSF</t>
  </si>
  <si>
    <t xml:space="preserve">1C </t>
  </si>
  <si>
    <t xml:space="preserve">2C </t>
  </si>
  <si>
    <t>3C</t>
  </si>
  <si>
    <t>4C</t>
  </si>
  <si>
    <t xml:space="preserve">5C </t>
  </si>
  <si>
    <t xml:space="preserve">6C </t>
  </si>
  <si>
    <t>6CR</t>
  </si>
  <si>
    <t>7C</t>
  </si>
  <si>
    <t>8C</t>
  </si>
  <si>
    <t>9C</t>
  </si>
  <si>
    <t xml:space="preserve">10C </t>
  </si>
  <si>
    <t>11C</t>
  </si>
  <si>
    <t xml:space="preserve">12C </t>
  </si>
  <si>
    <t>13C</t>
  </si>
  <si>
    <t xml:space="preserve">14C </t>
  </si>
  <si>
    <t>15C</t>
  </si>
  <si>
    <t xml:space="preserve">16C </t>
  </si>
  <si>
    <t xml:space="preserve">17C </t>
  </si>
  <si>
    <t>18C</t>
  </si>
  <si>
    <t xml:space="preserve">19C </t>
  </si>
  <si>
    <t>19CR</t>
  </si>
  <si>
    <t>20C</t>
  </si>
  <si>
    <t xml:space="preserve">21C </t>
  </si>
  <si>
    <t>22C</t>
  </si>
  <si>
    <t xml:space="preserve">23C </t>
  </si>
  <si>
    <t xml:space="preserve">24C </t>
  </si>
  <si>
    <t xml:space="preserve">25C </t>
  </si>
  <si>
    <t>26C</t>
  </si>
  <si>
    <t>26CR</t>
  </si>
  <si>
    <t>R26</t>
  </si>
  <si>
    <t>27C</t>
  </si>
  <si>
    <t>28C</t>
  </si>
  <si>
    <t>29C</t>
  </si>
  <si>
    <t>30C</t>
  </si>
  <si>
    <t xml:space="preserve">31C </t>
  </si>
  <si>
    <t xml:space="preserve">32C </t>
  </si>
  <si>
    <t>33C</t>
  </si>
  <si>
    <t>34C</t>
  </si>
  <si>
    <t xml:space="preserve">35C </t>
  </si>
  <si>
    <t>36C</t>
  </si>
  <si>
    <t xml:space="preserve">37C </t>
  </si>
  <si>
    <t>38C</t>
  </si>
  <si>
    <t xml:space="preserve">39C </t>
  </si>
  <si>
    <t>40C</t>
  </si>
  <si>
    <t xml:space="preserve">41C </t>
  </si>
  <si>
    <t xml:space="preserve">42C </t>
  </si>
  <si>
    <t xml:space="preserve">43C </t>
  </si>
  <si>
    <t xml:space="preserve">44C </t>
  </si>
  <si>
    <t xml:space="preserve">45C </t>
  </si>
  <si>
    <t xml:space="preserve">46C </t>
  </si>
  <si>
    <t xml:space="preserve">47C </t>
  </si>
  <si>
    <t xml:space="preserve">48C </t>
  </si>
  <si>
    <t xml:space="preserve">49C </t>
  </si>
  <si>
    <t xml:space="preserve">50C </t>
  </si>
  <si>
    <t xml:space="preserve">51C </t>
  </si>
  <si>
    <t>52C</t>
  </si>
  <si>
    <t xml:space="preserve">53C </t>
  </si>
  <si>
    <t xml:space="preserve">54C </t>
  </si>
  <si>
    <t xml:space="preserve">55C </t>
  </si>
  <si>
    <t xml:space="preserve">56C </t>
  </si>
  <si>
    <t>57C</t>
  </si>
  <si>
    <t xml:space="preserve">58C </t>
  </si>
  <si>
    <t xml:space="preserve">59C </t>
  </si>
  <si>
    <t xml:space="preserve">60C </t>
  </si>
  <si>
    <t xml:space="preserve">61C </t>
  </si>
  <si>
    <t>62C</t>
  </si>
  <si>
    <t>1CHT</t>
  </si>
  <si>
    <t>2CHT</t>
  </si>
  <si>
    <t>3CHT</t>
  </si>
  <si>
    <t>4CHT</t>
  </si>
  <si>
    <t>5CHT</t>
  </si>
  <si>
    <t>6CHT</t>
  </si>
  <si>
    <t>6CHTR</t>
  </si>
  <si>
    <t>7CHT</t>
  </si>
  <si>
    <t>8CHT</t>
  </si>
  <si>
    <t>9CHT</t>
  </si>
  <si>
    <t>10CHT</t>
  </si>
  <si>
    <t>11CHT</t>
  </si>
  <si>
    <t>12CHT</t>
  </si>
  <si>
    <t>13CHT</t>
  </si>
  <si>
    <t>13CHTR</t>
  </si>
  <si>
    <t>R13</t>
  </si>
  <si>
    <t>14CHT</t>
  </si>
  <si>
    <t>15CHT</t>
  </si>
  <si>
    <t>16CHT</t>
  </si>
  <si>
    <t>17CHT</t>
  </si>
  <si>
    <t>18CHT</t>
  </si>
  <si>
    <t>19CHT</t>
  </si>
  <si>
    <t>20CHT</t>
  </si>
  <si>
    <t>21CHT</t>
  </si>
  <si>
    <t>22CHT</t>
  </si>
  <si>
    <t>23CHT</t>
  </si>
  <si>
    <t>24CHT</t>
  </si>
  <si>
    <t>25CHT</t>
  </si>
  <si>
    <t>26CHT</t>
  </si>
  <si>
    <t>26CHTR</t>
  </si>
  <si>
    <t>27CHT</t>
  </si>
  <si>
    <t>28CHT</t>
  </si>
  <si>
    <t>29CHT</t>
  </si>
  <si>
    <t>30CHT</t>
  </si>
  <si>
    <t>31CHT</t>
  </si>
  <si>
    <t>32CHT</t>
  </si>
  <si>
    <t>32CHTR</t>
  </si>
  <si>
    <t>R32</t>
  </si>
  <si>
    <t>33CHT</t>
  </si>
  <si>
    <t>34CHT</t>
  </si>
  <si>
    <t>35CHT</t>
  </si>
  <si>
    <t>36CHT</t>
  </si>
  <si>
    <t>37CHT</t>
  </si>
  <si>
    <t>38CHT</t>
  </si>
  <si>
    <t>39CHT</t>
  </si>
  <si>
    <t>40CHT</t>
  </si>
  <si>
    <t>41CHT</t>
  </si>
  <si>
    <t>42CHT</t>
  </si>
  <si>
    <t>43CHT</t>
  </si>
  <si>
    <t>44CHT</t>
  </si>
  <si>
    <t>45CHT</t>
  </si>
  <si>
    <t>46CHT</t>
  </si>
  <si>
    <t>47CHT</t>
  </si>
  <si>
    <t>48CHT</t>
  </si>
  <si>
    <t>49CHT</t>
  </si>
  <si>
    <t>50CHT</t>
  </si>
  <si>
    <t>51CHT</t>
  </si>
  <si>
    <t>52CHT</t>
  </si>
  <si>
    <t>53CHT</t>
  </si>
  <si>
    <t>54CHT</t>
  </si>
  <si>
    <t>55CHT</t>
  </si>
  <si>
    <t>56CHT</t>
  </si>
  <si>
    <t>57CHT</t>
  </si>
  <si>
    <t>58CHT</t>
  </si>
  <si>
    <t>59CHT</t>
  </si>
  <si>
    <t>60CHT</t>
  </si>
  <si>
    <t>61CHT</t>
  </si>
  <si>
    <t>1HC</t>
  </si>
  <si>
    <t>2HC</t>
  </si>
  <si>
    <t>3HC</t>
  </si>
  <si>
    <t>4HC</t>
  </si>
  <si>
    <t>5HC</t>
  </si>
  <si>
    <t>6HC</t>
  </si>
  <si>
    <t>7HC</t>
  </si>
  <si>
    <t>8HC</t>
  </si>
  <si>
    <t>9HC</t>
  </si>
  <si>
    <t>10HC</t>
  </si>
  <si>
    <t>11HC</t>
  </si>
  <si>
    <t>12HC</t>
  </si>
  <si>
    <t>13HC</t>
  </si>
  <si>
    <t>14HC</t>
  </si>
  <si>
    <t>15HC</t>
  </si>
  <si>
    <t>16HC</t>
  </si>
  <si>
    <t>17HC</t>
  </si>
  <si>
    <t>18HC</t>
  </si>
  <si>
    <t>19HC</t>
  </si>
  <si>
    <t>20HC</t>
  </si>
  <si>
    <t>21HC</t>
  </si>
  <si>
    <t>21HCR</t>
  </si>
  <si>
    <t>R21</t>
  </si>
  <si>
    <t>22HC</t>
  </si>
  <si>
    <t>23HC</t>
  </si>
  <si>
    <t>24HC</t>
  </si>
  <si>
    <t>25HC</t>
  </si>
  <si>
    <t>26HC</t>
  </si>
  <si>
    <t>26HCR</t>
  </si>
  <si>
    <t>27HC</t>
  </si>
  <si>
    <t>27HCR</t>
  </si>
  <si>
    <t>R27</t>
  </si>
  <si>
    <t>28HC</t>
  </si>
  <si>
    <t>29HC</t>
  </si>
  <si>
    <t>30HC</t>
  </si>
  <si>
    <t>31HC</t>
  </si>
  <si>
    <t>31HCR</t>
  </si>
  <si>
    <t>R31</t>
  </si>
  <si>
    <t>32HC</t>
  </si>
  <si>
    <t>33HC</t>
  </si>
  <si>
    <t>33HCR</t>
  </si>
  <si>
    <t>R33</t>
  </si>
  <si>
    <t>34HC</t>
  </si>
  <si>
    <t>34HCR</t>
  </si>
  <si>
    <t>R34</t>
  </si>
  <si>
    <t>35HC</t>
  </si>
  <si>
    <t>37HC</t>
  </si>
  <si>
    <t>38HC</t>
  </si>
  <si>
    <t>39HC</t>
  </si>
  <si>
    <t>40HC</t>
  </si>
  <si>
    <t>41HC</t>
  </si>
  <si>
    <t>42HC</t>
  </si>
  <si>
    <t>43HC</t>
  </si>
  <si>
    <t>44HC</t>
  </si>
  <si>
    <t>45HC</t>
  </si>
  <si>
    <t>46HC</t>
  </si>
  <si>
    <t>47HC</t>
  </si>
  <si>
    <t>48HC</t>
  </si>
  <si>
    <t>49HC</t>
  </si>
  <si>
    <t>50HC</t>
  </si>
  <si>
    <t>51HC</t>
  </si>
  <si>
    <t xml:space="preserve">52HC </t>
  </si>
  <si>
    <t>53HC</t>
  </si>
  <si>
    <t>54HC</t>
  </si>
  <si>
    <t>55HC</t>
  </si>
  <si>
    <t>56HC</t>
  </si>
  <si>
    <t>57HC</t>
  </si>
  <si>
    <t>58HC</t>
  </si>
  <si>
    <t>59HC</t>
  </si>
  <si>
    <t>60HC</t>
  </si>
  <si>
    <t>61HC</t>
  </si>
  <si>
    <t>1MW</t>
  </si>
  <si>
    <t>2MW</t>
  </si>
  <si>
    <t>3MW</t>
  </si>
  <si>
    <t>4MW</t>
  </si>
  <si>
    <t>5MW</t>
  </si>
  <si>
    <t>6MW</t>
  </si>
  <si>
    <t>7MW</t>
  </si>
  <si>
    <t>8MW</t>
  </si>
  <si>
    <t>9MW</t>
  </si>
  <si>
    <t>11MW</t>
  </si>
  <si>
    <t>12MW</t>
  </si>
  <si>
    <t>13MW</t>
  </si>
  <si>
    <t xml:space="preserve">14MW </t>
  </si>
  <si>
    <t>15MW</t>
  </si>
  <si>
    <t>16MW</t>
  </si>
  <si>
    <t>17MW</t>
  </si>
  <si>
    <t>18MW</t>
  </si>
  <si>
    <t>19MW</t>
  </si>
  <si>
    <t>20MW</t>
  </si>
  <si>
    <t>21MW</t>
  </si>
  <si>
    <t>22MW</t>
  </si>
  <si>
    <t>23MW</t>
  </si>
  <si>
    <t>24MW</t>
  </si>
  <si>
    <t>25MW</t>
  </si>
  <si>
    <t>26MW</t>
  </si>
  <si>
    <t>27MW</t>
  </si>
  <si>
    <t>28MW</t>
  </si>
  <si>
    <t>29MW</t>
  </si>
  <si>
    <t>30MW</t>
  </si>
  <si>
    <t>31MW</t>
  </si>
  <si>
    <t>32MW</t>
  </si>
  <si>
    <t>33MW</t>
  </si>
  <si>
    <t>34MW</t>
  </si>
  <si>
    <t>35MW</t>
  </si>
  <si>
    <t>36MW</t>
  </si>
  <si>
    <t>37MW</t>
  </si>
  <si>
    <t xml:space="preserve">38MW </t>
  </si>
  <si>
    <t>39MW</t>
  </si>
  <si>
    <t>40MW</t>
  </si>
  <si>
    <t>41MW</t>
  </si>
  <si>
    <t>42MW</t>
  </si>
  <si>
    <t>43MW</t>
  </si>
  <si>
    <t>44MW</t>
  </si>
  <si>
    <t>45MW</t>
  </si>
  <si>
    <t>46MW</t>
  </si>
  <si>
    <t>47MW</t>
  </si>
  <si>
    <t>48MW</t>
  </si>
  <si>
    <t>49MW</t>
  </si>
  <si>
    <t>50MW</t>
  </si>
  <si>
    <t>51MW</t>
  </si>
  <si>
    <t>52MW</t>
  </si>
  <si>
    <t>53MW</t>
  </si>
  <si>
    <t>54MW</t>
  </si>
  <si>
    <t>55MW</t>
  </si>
  <si>
    <t>56MW</t>
  </si>
  <si>
    <t>57MW</t>
  </si>
  <si>
    <t>58MW</t>
  </si>
  <si>
    <t>59MW</t>
  </si>
  <si>
    <t xml:space="preserve">60MW </t>
  </si>
  <si>
    <t>61MW</t>
  </si>
  <si>
    <t>62MW</t>
  </si>
  <si>
    <t>1OF</t>
  </si>
  <si>
    <t>2OF</t>
  </si>
  <si>
    <t>3OF</t>
  </si>
  <si>
    <t>4OF</t>
  </si>
  <si>
    <t>5OF</t>
  </si>
  <si>
    <t>5OFR</t>
  </si>
  <si>
    <t>R5</t>
  </si>
  <si>
    <t>6OF</t>
  </si>
  <si>
    <t>7OF</t>
  </si>
  <si>
    <t>8OF</t>
  </si>
  <si>
    <t>9OF</t>
  </si>
  <si>
    <t xml:space="preserve">10OF </t>
  </si>
  <si>
    <t>11OF</t>
  </si>
  <si>
    <t>12OF</t>
  </si>
  <si>
    <t>13OF</t>
  </si>
  <si>
    <t>14OF</t>
  </si>
  <si>
    <t>15OF</t>
  </si>
  <si>
    <t>16OF</t>
  </si>
  <si>
    <t>17OF</t>
  </si>
  <si>
    <t>18OF</t>
  </si>
  <si>
    <t>19OF</t>
  </si>
  <si>
    <t>20OF</t>
  </si>
  <si>
    <t>21OF</t>
  </si>
  <si>
    <t>22OF</t>
  </si>
  <si>
    <t>23OF</t>
  </si>
  <si>
    <t>24OF</t>
  </si>
  <si>
    <t>25OF</t>
  </si>
  <si>
    <t>26OF</t>
  </si>
  <si>
    <t>27OF</t>
  </si>
  <si>
    <t>28OF</t>
  </si>
  <si>
    <t>29OF</t>
  </si>
  <si>
    <t>30OF</t>
  </si>
  <si>
    <t xml:space="preserve">31OF </t>
  </si>
  <si>
    <t>32OF</t>
  </si>
  <si>
    <t>33OF</t>
  </si>
  <si>
    <t>34OF</t>
  </si>
  <si>
    <t>35OF</t>
  </si>
  <si>
    <t>36OF</t>
  </si>
  <si>
    <t>36OFR</t>
  </si>
  <si>
    <t>R36</t>
  </si>
  <si>
    <t>37OF</t>
  </si>
  <si>
    <t>38OF</t>
  </si>
  <si>
    <t>39OF</t>
  </si>
  <si>
    <t>40OF</t>
  </si>
  <si>
    <t>40OFR</t>
  </si>
  <si>
    <t>R40</t>
  </si>
  <si>
    <t>41OF</t>
  </si>
  <si>
    <t xml:space="preserve">42OF </t>
  </si>
  <si>
    <t>43OF</t>
  </si>
  <si>
    <t>44OF</t>
  </si>
  <si>
    <t>45OF</t>
  </si>
  <si>
    <t>46OF</t>
  </si>
  <si>
    <t>47OF</t>
  </si>
  <si>
    <t>48OF</t>
  </si>
  <si>
    <t>49OF</t>
  </si>
  <si>
    <t>50OF</t>
  </si>
  <si>
    <t>51OF</t>
  </si>
  <si>
    <t>52 OF</t>
  </si>
  <si>
    <t>53OF</t>
  </si>
  <si>
    <t>54OF</t>
  </si>
  <si>
    <t>55OF</t>
  </si>
  <si>
    <t>56OF</t>
  </si>
  <si>
    <t>57OF</t>
  </si>
  <si>
    <t>58OF</t>
  </si>
  <si>
    <t>59OF</t>
  </si>
  <si>
    <t>60OF</t>
  </si>
  <si>
    <t>61OF</t>
  </si>
  <si>
    <t>36HC</t>
  </si>
  <si>
    <t>R19</t>
  </si>
  <si>
    <t>Sow_To_Flower</t>
  </si>
  <si>
    <t>10MW</t>
  </si>
  <si>
    <t>FPP</t>
  </si>
  <si>
    <t>TotalPollinators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</si>
</sst>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d/mm/yyyy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165" fontId="0" fillId="0" borderId="1" xfId="0" applyNumberFormat="1" applyBorder="1"/>
    <xf numFmtId="0" fontId="3" fillId="0" borderId="1" xfId="0" applyFont="1" applyBorder="1"/>
    <xf numFmtId="0" fontId="4" fillId="0" borderId="1" xfId="0" applyFont="1" applyBorder="1" applyAlignment="1">
      <alignment vertical="top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3">
    <cellStyle name="Comma [0] 2" xfId="2" xr:uid="{88445D30-0E84-4019-8BEB-76EF8DA611D8}"/>
    <cellStyle name="Normal" xfId="0" builtinId="0"/>
    <cellStyle name="Normal 2" xfId="1" xr:uid="{F8503896-E47B-4C00-87DD-158C2933204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8"/>
  <sheetViews>
    <sheetView tabSelected="1" zoomScale="70" zoomScaleNormal="70" workbookViewId="0">
      <selection activeCell="Y13" sqref="Y13"/>
    </sheetView>
  </sheetViews>
  <sheetFormatPr defaultRowHeight="15" x14ac:dyDescent="0.25"/>
  <cols>
    <col min="1" max="1" width="12.140625" bestFit="1" customWidth="1"/>
    <col min="2" max="2" width="3.7109375" customWidth="1"/>
    <col min="3" max="3" width="11.28515625" bestFit="1" customWidth="1"/>
    <col min="4" max="4" width="6.28515625" bestFit="1" customWidth="1"/>
    <col min="5" max="6" width="9.5703125" bestFit="1" customWidth="1"/>
    <col min="9" max="10" width="10" bestFit="1" customWidth="1"/>
    <col min="11" max="11" width="9.5703125" customWidth="1"/>
    <col min="12" max="12" width="8.140625" bestFit="1" customWidth="1"/>
    <col min="13" max="13" width="9.42578125" bestFit="1" customWidth="1"/>
    <col min="14" max="15" width="7.42578125" bestFit="1" customWidth="1"/>
    <col min="16" max="16" width="7.140625" bestFit="1" customWidth="1"/>
    <col min="17" max="17" width="7.28515625" bestFit="1" customWidth="1"/>
    <col min="18" max="18" width="13.42578125" bestFit="1" customWidth="1"/>
    <col min="19" max="19" width="10.5703125" bestFit="1" customWidth="1"/>
    <col min="20" max="20" width="9.28515625" bestFit="1" customWidth="1"/>
    <col min="21" max="21" width="8.7109375" bestFit="1" customWidth="1"/>
    <col min="22" max="22" width="8.28515625" bestFit="1" customWidth="1"/>
    <col min="23" max="23" width="8.5703125" bestFit="1" customWidth="1"/>
    <col min="24" max="24" width="14.5703125" bestFit="1" customWidth="1"/>
    <col min="25" max="25" width="18" bestFit="1" customWidth="1"/>
    <col min="26" max="26" width="8.85546875"/>
  </cols>
  <sheetData>
    <row r="1" spans="1:26" ht="15.75" x14ac:dyDescent="0.25">
      <c r="A1" s="6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7</v>
      </c>
      <c r="I1" s="4" t="s">
        <v>6</v>
      </c>
      <c r="J1" s="4" t="s">
        <v>8</v>
      </c>
      <c r="K1" s="1" t="s">
        <v>793</v>
      </c>
      <c r="L1" s="5" t="s">
        <v>9</v>
      </c>
      <c r="M1" s="5" t="s">
        <v>10</v>
      </c>
      <c r="N1" s="5" t="s">
        <v>389</v>
      </c>
      <c r="O1" s="5" t="s">
        <v>11</v>
      </c>
      <c r="P1" s="5" t="s">
        <v>12</v>
      </c>
      <c r="Q1" s="5" t="s">
        <v>13</v>
      </c>
      <c r="R1" s="5" t="s">
        <v>390</v>
      </c>
      <c r="S1" s="5" t="s">
        <v>14</v>
      </c>
      <c r="T1" s="5" t="s">
        <v>15</v>
      </c>
      <c r="U1" s="5" t="s">
        <v>391</v>
      </c>
      <c r="V1" s="5" t="s">
        <v>16</v>
      </c>
      <c r="W1" s="5" t="s">
        <v>17</v>
      </c>
      <c r="X1" s="5" t="s">
        <v>18</v>
      </c>
      <c r="Y1" s="6" t="s">
        <v>796</v>
      </c>
      <c r="Z1" s="6" t="s">
        <v>795</v>
      </c>
    </row>
    <row r="2" spans="1:26" x14ac:dyDescent="0.25">
      <c r="A2" t="s">
        <v>30</v>
      </c>
      <c r="B2" s="7">
        <v>1</v>
      </c>
      <c r="C2" s="8" t="s">
        <v>19</v>
      </c>
      <c r="D2" s="8" t="s">
        <v>20</v>
      </c>
      <c r="E2" s="9">
        <v>12.5</v>
      </c>
      <c r="F2" s="9">
        <v>12.5</v>
      </c>
      <c r="G2" s="2">
        <v>29</v>
      </c>
      <c r="H2" s="2">
        <v>22</v>
      </c>
      <c r="I2" s="2">
        <v>42.6</v>
      </c>
      <c r="J2" s="2">
        <v>50.5</v>
      </c>
      <c r="K2" s="2">
        <v>47</v>
      </c>
      <c r="L2" s="2">
        <v>456</v>
      </c>
      <c r="M2" s="2">
        <v>1</v>
      </c>
      <c r="N2" s="2">
        <v>0</v>
      </c>
      <c r="O2" s="2">
        <v>2</v>
      </c>
      <c r="P2" s="2">
        <v>0</v>
      </c>
      <c r="Q2" s="2">
        <v>0</v>
      </c>
      <c r="R2" s="2">
        <v>8</v>
      </c>
      <c r="S2" s="2">
        <v>0</v>
      </c>
      <c r="T2" s="2">
        <v>0</v>
      </c>
      <c r="U2" s="2">
        <v>1</v>
      </c>
      <c r="V2" s="2">
        <v>0</v>
      </c>
      <c r="W2" s="2">
        <v>0</v>
      </c>
      <c r="X2" s="2">
        <v>2</v>
      </c>
      <c r="Y2">
        <f>SUM(M2:Q2,S2:W2)</f>
        <v>4</v>
      </c>
      <c r="Z2">
        <f>(R2+X2) / (SUM(M2:Q2) + (SUM(S2:W2)))</f>
        <v>2.5</v>
      </c>
    </row>
    <row r="3" spans="1:26" x14ac:dyDescent="0.25">
      <c r="A3" t="s">
        <v>31</v>
      </c>
      <c r="B3" s="7">
        <v>2</v>
      </c>
      <c r="C3" s="8" t="s">
        <v>19</v>
      </c>
      <c r="D3" s="8" t="s">
        <v>20</v>
      </c>
      <c r="E3" s="2">
        <v>6</v>
      </c>
      <c r="F3" s="2">
        <v>21</v>
      </c>
      <c r="G3" s="2">
        <v>25</v>
      </c>
      <c r="H3" s="2">
        <v>58</v>
      </c>
      <c r="I3" s="2">
        <v>44</v>
      </c>
      <c r="J3" s="2">
        <v>56.3</v>
      </c>
      <c r="K3" s="2">
        <v>47</v>
      </c>
      <c r="L3" s="2">
        <v>3010</v>
      </c>
      <c r="M3" s="2">
        <v>0</v>
      </c>
      <c r="N3" s="2">
        <v>1</v>
      </c>
      <c r="O3" s="2">
        <v>2</v>
      </c>
      <c r="P3" s="2">
        <v>0</v>
      </c>
      <c r="Q3" s="2">
        <v>0</v>
      </c>
      <c r="R3" s="2">
        <v>14</v>
      </c>
      <c r="S3" s="2">
        <v>1</v>
      </c>
      <c r="T3" s="2">
        <v>0</v>
      </c>
      <c r="U3" s="2">
        <v>6</v>
      </c>
      <c r="V3" s="2">
        <v>0</v>
      </c>
      <c r="W3" s="2">
        <v>1</v>
      </c>
      <c r="X3" s="2">
        <v>4</v>
      </c>
      <c r="Y3">
        <f t="shared" ref="Y3:Y66" si="0">SUM(M3:Q3,S3:W3)</f>
        <v>11</v>
      </c>
      <c r="Z3">
        <f t="shared" ref="Z3:Z66" si="1">(R3+X3) / (SUM(M3:Q3) + (SUM(S3:W3)))</f>
        <v>1.6363636363636365</v>
      </c>
    </row>
    <row r="4" spans="1:26" x14ac:dyDescent="0.25">
      <c r="A4" t="s">
        <v>32</v>
      </c>
      <c r="B4" s="7">
        <v>3</v>
      </c>
      <c r="C4" s="8" t="s">
        <v>19</v>
      </c>
      <c r="D4" s="8" t="s">
        <v>20</v>
      </c>
      <c r="E4" s="2">
        <v>9</v>
      </c>
      <c r="F4" s="2">
        <v>12.8</v>
      </c>
      <c r="G4" s="2">
        <v>11</v>
      </c>
      <c r="H4" s="2">
        <v>12</v>
      </c>
      <c r="I4" s="2">
        <v>30</v>
      </c>
      <c r="J4" s="2">
        <v>45.5</v>
      </c>
      <c r="K4" s="2">
        <v>52</v>
      </c>
      <c r="L4" s="2">
        <v>746</v>
      </c>
      <c r="M4" s="2">
        <v>0</v>
      </c>
      <c r="N4" s="2">
        <v>0</v>
      </c>
      <c r="O4" s="2">
        <v>1</v>
      </c>
      <c r="P4" s="2">
        <v>1</v>
      </c>
      <c r="Q4" s="2">
        <v>1</v>
      </c>
      <c r="R4" s="2">
        <v>3</v>
      </c>
      <c r="S4" s="2">
        <v>1</v>
      </c>
      <c r="T4" s="2">
        <v>0</v>
      </c>
      <c r="U4" s="2">
        <v>2</v>
      </c>
      <c r="V4" s="2">
        <v>0</v>
      </c>
      <c r="W4" s="2">
        <v>0</v>
      </c>
      <c r="X4" s="2">
        <v>9</v>
      </c>
      <c r="Y4">
        <f t="shared" si="0"/>
        <v>6</v>
      </c>
      <c r="Z4">
        <f t="shared" si="1"/>
        <v>2</v>
      </c>
    </row>
    <row r="5" spans="1:26" x14ac:dyDescent="0.25">
      <c r="A5" t="s">
        <v>33</v>
      </c>
      <c r="B5" s="7">
        <v>4</v>
      </c>
      <c r="C5" s="8" t="s">
        <v>19</v>
      </c>
      <c r="D5" s="8" t="s">
        <v>20</v>
      </c>
      <c r="E5" s="2">
        <v>8</v>
      </c>
      <c r="F5" s="2">
        <v>11.5</v>
      </c>
      <c r="G5" s="2">
        <v>6</v>
      </c>
      <c r="H5" s="2">
        <v>8</v>
      </c>
      <c r="I5" s="2">
        <v>36</v>
      </c>
      <c r="J5" s="2">
        <v>44.4</v>
      </c>
      <c r="K5" s="2">
        <v>55</v>
      </c>
      <c r="L5" s="2">
        <v>149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3</v>
      </c>
      <c r="S5" s="2">
        <v>5</v>
      </c>
      <c r="T5" s="2">
        <v>1</v>
      </c>
      <c r="U5" s="2">
        <v>3</v>
      </c>
      <c r="V5" s="2">
        <v>0</v>
      </c>
      <c r="W5" s="2">
        <v>2</v>
      </c>
      <c r="X5" s="2">
        <v>32</v>
      </c>
      <c r="Y5">
        <f t="shared" si="0"/>
        <v>12</v>
      </c>
      <c r="Z5">
        <f t="shared" si="1"/>
        <v>2.9166666666666665</v>
      </c>
    </row>
    <row r="6" spans="1:26" x14ac:dyDescent="0.25">
      <c r="A6" t="s">
        <v>34</v>
      </c>
      <c r="B6" s="7">
        <v>5</v>
      </c>
      <c r="C6" s="8" t="s">
        <v>19</v>
      </c>
      <c r="D6" s="8" t="s">
        <v>20</v>
      </c>
      <c r="E6" s="2">
        <v>9.5</v>
      </c>
      <c r="F6" s="2">
        <v>14.9</v>
      </c>
      <c r="G6" s="2">
        <v>155</v>
      </c>
      <c r="H6" s="2">
        <v>219</v>
      </c>
      <c r="I6" s="2">
        <v>76</v>
      </c>
      <c r="J6" s="2">
        <v>68</v>
      </c>
      <c r="K6" s="2">
        <v>63</v>
      </c>
      <c r="L6" s="2">
        <v>6437</v>
      </c>
      <c r="M6" s="2">
        <v>4</v>
      </c>
      <c r="N6" s="2">
        <v>0</v>
      </c>
      <c r="O6" s="2">
        <v>2</v>
      </c>
      <c r="P6" s="2">
        <v>0</v>
      </c>
      <c r="Q6" s="2">
        <v>1</v>
      </c>
      <c r="R6" s="2">
        <v>33</v>
      </c>
      <c r="S6" s="2">
        <v>3</v>
      </c>
      <c r="T6" s="2">
        <v>0</v>
      </c>
      <c r="U6" s="2">
        <v>2</v>
      </c>
      <c r="V6" s="2">
        <v>0</v>
      </c>
      <c r="W6" s="2">
        <v>0</v>
      </c>
      <c r="X6" s="2">
        <v>49</v>
      </c>
      <c r="Y6">
        <f t="shared" si="0"/>
        <v>12</v>
      </c>
      <c r="Z6">
        <f t="shared" si="1"/>
        <v>6.833333333333333</v>
      </c>
    </row>
    <row r="7" spans="1:26" x14ac:dyDescent="0.25">
      <c r="A7" t="s">
        <v>35</v>
      </c>
      <c r="B7" s="7">
        <v>6</v>
      </c>
      <c r="C7" s="8" t="s">
        <v>19</v>
      </c>
      <c r="D7" s="8" t="s">
        <v>20</v>
      </c>
      <c r="E7" s="2">
        <v>6.5</v>
      </c>
      <c r="F7" s="2">
        <v>12.5</v>
      </c>
      <c r="G7" s="2">
        <v>65</v>
      </c>
      <c r="H7" s="2">
        <v>140</v>
      </c>
      <c r="I7" s="2">
        <v>50.1</v>
      </c>
      <c r="J7" s="2">
        <v>48</v>
      </c>
      <c r="K7" s="2">
        <v>53</v>
      </c>
      <c r="L7" s="2">
        <v>192</v>
      </c>
      <c r="M7" s="2">
        <v>1</v>
      </c>
      <c r="N7" s="2">
        <v>1</v>
      </c>
      <c r="O7" s="2">
        <v>5</v>
      </c>
      <c r="P7" s="2">
        <v>0</v>
      </c>
      <c r="Q7" s="2">
        <v>0</v>
      </c>
      <c r="R7" s="2">
        <v>3</v>
      </c>
      <c r="S7" s="2">
        <v>3</v>
      </c>
      <c r="T7" s="2">
        <v>0</v>
      </c>
      <c r="U7" s="2">
        <v>0</v>
      </c>
      <c r="V7" s="2">
        <v>1</v>
      </c>
      <c r="W7" s="2">
        <v>0</v>
      </c>
      <c r="X7" s="2">
        <v>28</v>
      </c>
      <c r="Y7">
        <f t="shared" si="0"/>
        <v>11</v>
      </c>
      <c r="Z7">
        <f t="shared" si="1"/>
        <v>2.8181818181818183</v>
      </c>
    </row>
    <row r="8" spans="1:26" x14ac:dyDescent="0.25">
      <c r="A8" t="s">
        <v>36</v>
      </c>
      <c r="B8" s="7">
        <v>7</v>
      </c>
      <c r="C8" s="8" t="s">
        <v>19</v>
      </c>
      <c r="D8" s="8" t="s">
        <v>20</v>
      </c>
      <c r="E8" s="2">
        <v>8</v>
      </c>
      <c r="F8" s="2">
        <v>13.9</v>
      </c>
      <c r="G8" s="2"/>
      <c r="H8" s="2">
        <v>154</v>
      </c>
      <c r="I8" s="2">
        <v>51.2</v>
      </c>
      <c r="J8" s="2">
        <v>60</v>
      </c>
      <c r="K8" s="2">
        <v>52</v>
      </c>
      <c r="L8" s="2">
        <v>17083</v>
      </c>
      <c r="M8" s="2"/>
      <c r="N8" s="2"/>
      <c r="O8" s="2"/>
      <c r="P8" s="2"/>
      <c r="Q8" s="2"/>
      <c r="R8" s="2"/>
      <c r="S8" s="2">
        <v>3</v>
      </c>
      <c r="T8" s="2">
        <v>0</v>
      </c>
      <c r="U8" s="2">
        <v>3</v>
      </c>
      <c r="V8" s="2">
        <v>0</v>
      </c>
      <c r="W8" s="2">
        <v>0</v>
      </c>
      <c r="X8" s="2">
        <v>32</v>
      </c>
      <c r="Y8">
        <f t="shared" si="0"/>
        <v>6</v>
      </c>
      <c r="Z8">
        <f t="shared" si="1"/>
        <v>5.333333333333333</v>
      </c>
    </row>
    <row r="9" spans="1:26" x14ac:dyDescent="0.25">
      <c r="A9" t="s">
        <v>37</v>
      </c>
      <c r="B9" s="7">
        <v>8</v>
      </c>
      <c r="C9" s="8" t="s">
        <v>19</v>
      </c>
      <c r="D9" s="8" t="s">
        <v>20</v>
      </c>
      <c r="E9" s="2">
        <v>12.5</v>
      </c>
      <c r="F9" s="2">
        <v>22</v>
      </c>
      <c r="G9" s="2">
        <v>124</v>
      </c>
      <c r="H9" s="2"/>
      <c r="I9" s="2">
        <v>50</v>
      </c>
      <c r="J9" s="2"/>
      <c r="K9" s="2">
        <v>55</v>
      </c>
      <c r="L9" s="2"/>
      <c r="M9" s="2">
        <v>6</v>
      </c>
      <c r="N9" s="2">
        <v>5</v>
      </c>
      <c r="O9" s="2">
        <v>4</v>
      </c>
      <c r="P9" s="2">
        <v>0</v>
      </c>
      <c r="Q9" s="2">
        <v>1</v>
      </c>
      <c r="R9" s="2">
        <v>34</v>
      </c>
      <c r="S9" s="2"/>
      <c r="T9" s="2"/>
      <c r="U9" s="2"/>
      <c r="V9" s="2"/>
      <c r="W9" s="2"/>
      <c r="X9" s="2"/>
      <c r="Y9">
        <f t="shared" si="0"/>
        <v>16</v>
      </c>
      <c r="Z9">
        <f t="shared" si="1"/>
        <v>2.125</v>
      </c>
    </row>
    <row r="10" spans="1:26" x14ac:dyDescent="0.25">
      <c r="A10" t="s">
        <v>38</v>
      </c>
      <c r="B10" s="7">
        <v>9</v>
      </c>
      <c r="C10" s="8" t="s">
        <v>19</v>
      </c>
      <c r="D10" s="8" t="s">
        <v>20</v>
      </c>
      <c r="E10" s="2">
        <v>8.1</v>
      </c>
      <c r="F10" s="2">
        <v>12.4</v>
      </c>
      <c r="G10" s="2">
        <v>92</v>
      </c>
      <c r="H10" s="2"/>
      <c r="I10" s="2">
        <v>58</v>
      </c>
      <c r="J10" s="2"/>
      <c r="K10" s="2">
        <v>63</v>
      </c>
      <c r="L10" s="2">
        <v>1114</v>
      </c>
      <c r="M10" s="2">
        <v>11</v>
      </c>
      <c r="N10" s="2">
        <v>0</v>
      </c>
      <c r="O10" s="2">
        <v>0</v>
      </c>
      <c r="P10" s="2">
        <v>1</v>
      </c>
      <c r="Q10" s="2">
        <v>0</v>
      </c>
      <c r="R10" s="2">
        <v>48</v>
      </c>
      <c r="S10" s="2"/>
      <c r="T10" s="2"/>
      <c r="U10" s="2"/>
      <c r="V10" s="2"/>
      <c r="W10" s="2"/>
      <c r="X10" s="2"/>
      <c r="Y10">
        <f t="shared" si="0"/>
        <v>12</v>
      </c>
      <c r="Z10">
        <f t="shared" si="1"/>
        <v>4</v>
      </c>
    </row>
    <row r="11" spans="1:26" x14ac:dyDescent="0.25">
      <c r="A11" t="s">
        <v>39</v>
      </c>
      <c r="B11" s="7">
        <v>10</v>
      </c>
      <c r="C11" s="8" t="s">
        <v>19</v>
      </c>
      <c r="D11" s="8" t="s">
        <v>20</v>
      </c>
      <c r="E11" s="2">
        <v>7.2</v>
      </c>
      <c r="F11" s="2">
        <v>16.2</v>
      </c>
      <c r="G11" s="2"/>
      <c r="H11" s="2">
        <v>219</v>
      </c>
      <c r="I11" s="2">
        <v>59.6</v>
      </c>
      <c r="J11" s="2">
        <v>76</v>
      </c>
      <c r="K11" s="2">
        <v>52</v>
      </c>
      <c r="L11" s="2">
        <v>7609</v>
      </c>
      <c r="M11" s="2"/>
      <c r="N11" s="2"/>
      <c r="O11" s="2"/>
      <c r="P11" s="2"/>
      <c r="Q11" s="2"/>
      <c r="R11" s="2"/>
      <c r="S11" s="2">
        <v>7</v>
      </c>
      <c r="T11" s="2">
        <v>0</v>
      </c>
      <c r="U11" s="2">
        <v>7</v>
      </c>
      <c r="V11" s="2">
        <v>0</v>
      </c>
      <c r="W11" s="2">
        <v>0</v>
      </c>
      <c r="X11" s="2">
        <v>58</v>
      </c>
      <c r="Y11">
        <f t="shared" si="0"/>
        <v>14</v>
      </c>
      <c r="Z11">
        <f t="shared" si="1"/>
        <v>4.1428571428571432</v>
      </c>
    </row>
    <row r="12" spans="1:26" x14ac:dyDescent="0.25">
      <c r="A12" t="s">
        <v>40</v>
      </c>
      <c r="B12" s="7">
        <v>11</v>
      </c>
      <c r="C12" s="8" t="s">
        <v>19</v>
      </c>
      <c r="D12" s="8" t="s">
        <v>20</v>
      </c>
      <c r="E12" s="2">
        <v>8.1999999999999993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>
        <f t="shared" si="0"/>
        <v>0</v>
      </c>
      <c r="Z12" t="e">
        <f t="shared" si="1"/>
        <v>#DIV/0!</v>
      </c>
    </row>
    <row r="13" spans="1:26" x14ac:dyDescent="0.25">
      <c r="A13" t="s">
        <v>41</v>
      </c>
      <c r="B13" s="7">
        <v>12</v>
      </c>
      <c r="C13" s="8" t="s">
        <v>19</v>
      </c>
      <c r="D13" s="8" t="s">
        <v>20</v>
      </c>
      <c r="E13" s="2">
        <v>6.7</v>
      </c>
      <c r="F13" s="2">
        <v>14.5</v>
      </c>
      <c r="G13" s="2">
        <v>42</v>
      </c>
      <c r="H13" s="2">
        <v>50</v>
      </c>
      <c r="I13" s="2">
        <v>65</v>
      </c>
      <c r="J13" s="2">
        <v>70</v>
      </c>
      <c r="K13" s="2">
        <v>48</v>
      </c>
      <c r="L13" s="2">
        <v>6345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3</v>
      </c>
      <c r="S13" s="2">
        <v>1</v>
      </c>
      <c r="T13" s="2">
        <v>0</v>
      </c>
      <c r="U13" s="2">
        <v>3</v>
      </c>
      <c r="V13" s="2">
        <v>0</v>
      </c>
      <c r="W13" s="2">
        <v>0</v>
      </c>
      <c r="X13" s="2">
        <v>20</v>
      </c>
      <c r="Y13">
        <f t="shared" si="0"/>
        <v>5</v>
      </c>
      <c r="Z13">
        <f t="shared" si="1"/>
        <v>4.5999999999999996</v>
      </c>
    </row>
    <row r="14" spans="1:26" x14ac:dyDescent="0.25">
      <c r="A14" t="s">
        <v>42</v>
      </c>
      <c r="B14" s="7">
        <v>13</v>
      </c>
      <c r="C14" s="8" t="s">
        <v>19</v>
      </c>
      <c r="D14" s="8" t="s">
        <v>20</v>
      </c>
      <c r="E14" s="2">
        <v>9.5</v>
      </c>
      <c r="F14" s="2">
        <v>23.9</v>
      </c>
      <c r="G14" s="2">
        <v>33</v>
      </c>
      <c r="H14" s="2">
        <v>285</v>
      </c>
      <c r="I14" s="2">
        <v>32</v>
      </c>
      <c r="J14" s="2">
        <v>58.8</v>
      </c>
      <c r="K14" s="2">
        <v>55</v>
      </c>
      <c r="L14" s="2">
        <v>5651</v>
      </c>
      <c r="M14" s="2">
        <v>4</v>
      </c>
      <c r="N14" s="2">
        <v>1</v>
      </c>
      <c r="O14" s="2">
        <v>0</v>
      </c>
      <c r="P14" s="2">
        <v>0</v>
      </c>
      <c r="Q14" s="2">
        <v>0</v>
      </c>
      <c r="R14" s="2">
        <v>14</v>
      </c>
      <c r="S14" s="2">
        <v>7</v>
      </c>
      <c r="T14" s="2">
        <v>1</v>
      </c>
      <c r="U14" s="2">
        <v>5</v>
      </c>
      <c r="V14" s="2">
        <v>0</v>
      </c>
      <c r="W14" s="2">
        <v>2</v>
      </c>
      <c r="X14" s="2">
        <v>41</v>
      </c>
      <c r="Y14">
        <f t="shared" si="0"/>
        <v>20</v>
      </c>
      <c r="Z14">
        <f t="shared" si="1"/>
        <v>2.75</v>
      </c>
    </row>
    <row r="15" spans="1:26" x14ac:dyDescent="0.25">
      <c r="A15" t="s">
        <v>43</v>
      </c>
      <c r="B15" s="7">
        <v>14</v>
      </c>
      <c r="C15" s="8" t="s">
        <v>19</v>
      </c>
      <c r="D15" s="8" t="s">
        <v>20</v>
      </c>
      <c r="E15" s="2">
        <v>12</v>
      </c>
      <c r="F15" s="2">
        <v>14.5</v>
      </c>
      <c r="G15" s="2">
        <v>36</v>
      </c>
      <c r="H15" s="2"/>
      <c r="I15" s="2">
        <v>31</v>
      </c>
      <c r="J15" s="2">
        <v>35</v>
      </c>
      <c r="K15" s="2">
        <v>63</v>
      </c>
      <c r="L15" s="2"/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6</v>
      </c>
      <c r="S15" s="2"/>
      <c r="T15" s="2"/>
      <c r="U15" s="2"/>
      <c r="V15" s="2"/>
      <c r="W15" s="2"/>
      <c r="X15" s="2"/>
      <c r="Y15">
        <f t="shared" si="0"/>
        <v>3</v>
      </c>
      <c r="Z15">
        <f t="shared" si="1"/>
        <v>2</v>
      </c>
    </row>
    <row r="16" spans="1:26" x14ac:dyDescent="0.25">
      <c r="A16" t="s">
        <v>44</v>
      </c>
      <c r="B16" s="7">
        <v>15</v>
      </c>
      <c r="C16" s="8" t="s">
        <v>19</v>
      </c>
      <c r="D16" s="8" t="s">
        <v>20</v>
      </c>
      <c r="E16" s="2">
        <v>10.7</v>
      </c>
      <c r="F16" s="2">
        <v>17.2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>
        <f t="shared" si="0"/>
        <v>0</v>
      </c>
      <c r="Z16" t="e">
        <f t="shared" si="1"/>
        <v>#DIV/0!</v>
      </c>
    </row>
    <row r="17" spans="1:26" x14ac:dyDescent="0.25">
      <c r="A17" t="s">
        <v>45</v>
      </c>
      <c r="B17" s="7">
        <v>16</v>
      </c>
      <c r="C17" s="8" t="s">
        <v>19</v>
      </c>
      <c r="D17" s="8" t="s">
        <v>20</v>
      </c>
      <c r="E17" s="2">
        <v>12.4</v>
      </c>
      <c r="F17" s="2">
        <v>20.2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>
        <f t="shared" si="0"/>
        <v>0</v>
      </c>
      <c r="Z17" t="e">
        <f t="shared" si="1"/>
        <v>#DIV/0!</v>
      </c>
    </row>
    <row r="18" spans="1:26" x14ac:dyDescent="0.25">
      <c r="A18" t="s">
        <v>46</v>
      </c>
      <c r="B18" s="7">
        <v>17</v>
      </c>
      <c r="C18" s="8" t="s">
        <v>19</v>
      </c>
      <c r="D18" s="8" t="s">
        <v>20</v>
      </c>
      <c r="E18" s="2">
        <v>13.6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>
        <f t="shared" si="0"/>
        <v>0</v>
      </c>
      <c r="Z18" t="e">
        <f t="shared" si="1"/>
        <v>#DIV/0!</v>
      </c>
    </row>
    <row r="19" spans="1:26" x14ac:dyDescent="0.25">
      <c r="A19" t="s">
        <v>47</v>
      </c>
      <c r="B19" s="7">
        <v>18</v>
      </c>
      <c r="C19" s="8" t="s">
        <v>19</v>
      </c>
      <c r="D19" s="8" t="s">
        <v>20</v>
      </c>
      <c r="E19" s="2">
        <v>6.9</v>
      </c>
      <c r="F19" s="2">
        <v>8.8000000000000007</v>
      </c>
      <c r="G19" s="2">
        <v>15</v>
      </c>
      <c r="H19" s="2">
        <v>414</v>
      </c>
      <c r="I19" s="2">
        <v>39</v>
      </c>
      <c r="J19" s="2">
        <v>76</v>
      </c>
      <c r="K19" s="2">
        <v>55</v>
      </c>
      <c r="L19" s="2">
        <v>9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2</v>
      </c>
      <c r="S19" s="2">
        <v>13</v>
      </c>
      <c r="T19" s="2">
        <v>1</v>
      </c>
      <c r="U19" s="2">
        <v>6</v>
      </c>
      <c r="V19" s="2">
        <v>0</v>
      </c>
      <c r="W19" s="2">
        <v>3</v>
      </c>
      <c r="X19" s="2">
        <v>151</v>
      </c>
      <c r="Y19">
        <f t="shared" si="0"/>
        <v>24</v>
      </c>
      <c r="Z19">
        <f t="shared" si="1"/>
        <v>6.375</v>
      </c>
    </row>
    <row r="20" spans="1:26" x14ac:dyDescent="0.25">
      <c r="A20" t="s">
        <v>48</v>
      </c>
      <c r="B20" s="7">
        <v>19</v>
      </c>
      <c r="C20" s="8" t="s">
        <v>19</v>
      </c>
      <c r="D20" s="8" t="s">
        <v>20</v>
      </c>
      <c r="E20" s="2">
        <v>11.9</v>
      </c>
      <c r="F20" s="2">
        <v>20.5</v>
      </c>
      <c r="G20" s="10"/>
      <c r="H20" s="2">
        <v>404</v>
      </c>
      <c r="I20" s="10"/>
      <c r="J20" s="2">
        <v>76</v>
      </c>
      <c r="K20" s="2">
        <v>52</v>
      </c>
      <c r="L20" s="2"/>
      <c r="M20" s="2"/>
      <c r="N20" s="2"/>
      <c r="O20" s="2"/>
      <c r="P20" s="2"/>
      <c r="Q20" s="2"/>
      <c r="R20" s="2"/>
      <c r="S20" s="2">
        <v>4</v>
      </c>
      <c r="T20" s="2">
        <v>0</v>
      </c>
      <c r="U20" s="2">
        <v>10</v>
      </c>
      <c r="V20" s="2">
        <v>0</v>
      </c>
      <c r="W20" s="2">
        <v>2</v>
      </c>
      <c r="X20" s="2">
        <v>142</v>
      </c>
      <c r="Y20">
        <f t="shared" si="0"/>
        <v>16</v>
      </c>
      <c r="Z20">
        <f t="shared" si="1"/>
        <v>8.875</v>
      </c>
    </row>
    <row r="21" spans="1:26" x14ac:dyDescent="0.25">
      <c r="A21" t="s">
        <v>49</v>
      </c>
      <c r="B21" s="7">
        <v>20</v>
      </c>
      <c r="C21" s="8" t="s">
        <v>19</v>
      </c>
      <c r="D21" s="8" t="s">
        <v>20</v>
      </c>
      <c r="E21" s="2">
        <v>8</v>
      </c>
      <c r="F21" s="2">
        <v>18</v>
      </c>
      <c r="G21" s="2">
        <v>51</v>
      </c>
      <c r="H21" s="2">
        <v>258</v>
      </c>
      <c r="I21" s="2">
        <v>50.2</v>
      </c>
      <c r="J21" s="2">
        <v>69</v>
      </c>
      <c r="K21" s="2">
        <v>52</v>
      </c>
      <c r="L21" s="2">
        <v>58</v>
      </c>
      <c r="M21" s="2"/>
      <c r="N21" s="2"/>
      <c r="O21" s="2"/>
      <c r="P21" s="2"/>
      <c r="Q21" s="2"/>
      <c r="R21" s="2"/>
      <c r="S21" s="2">
        <v>2</v>
      </c>
      <c r="T21" s="2">
        <v>0</v>
      </c>
      <c r="U21" s="2">
        <v>7</v>
      </c>
      <c r="V21" s="2">
        <v>0</v>
      </c>
      <c r="W21" s="2">
        <v>2</v>
      </c>
      <c r="X21" s="2">
        <v>57</v>
      </c>
      <c r="Y21">
        <f t="shared" si="0"/>
        <v>11</v>
      </c>
      <c r="Z21">
        <f t="shared" si="1"/>
        <v>5.1818181818181817</v>
      </c>
    </row>
    <row r="22" spans="1:26" x14ac:dyDescent="0.25">
      <c r="A22" t="s">
        <v>50</v>
      </c>
      <c r="B22" s="7">
        <v>1</v>
      </c>
      <c r="C22" s="8" t="s">
        <v>22</v>
      </c>
      <c r="D22" s="8" t="s">
        <v>20</v>
      </c>
      <c r="E22" s="2">
        <v>11.5</v>
      </c>
      <c r="F22" s="2">
        <v>18.8</v>
      </c>
      <c r="G22" s="2">
        <v>38</v>
      </c>
      <c r="H22" s="2"/>
      <c r="I22" s="2">
        <v>65</v>
      </c>
      <c r="J22" s="2"/>
      <c r="K22" s="2">
        <v>40</v>
      </c>
      <c r="L22" s="2">
        <v>1957</v>
      </c>
      <c r="M22" s="2">
        <v>0</v>
      </c>
      <c r="N22" s="2">
        <v>2</v>
      </c>
      <c r="O22" s="2">
        <v>0</v>
      </c>
      <c r="P22" s="2">
        <v>0</v>
      </c>
      <c r="Q22" s="2">
        <v>0</v>
      </c>
      <c r="R22" s="2">
        <v>4</v>
      </c>
      <c r="S22" s="2"/>
      <c r="T22" s="2"/>
      <c r="U22" s="2"/>
      <c r="V22" s="2"/>
      <c r="W22" s="2"/>
      <c r="X22" s="2"/>
      <c r="Y22">
        <f t="shared" si="0"/>
        <v>2</v>
      </c>
      <c r="Z22">
        <f t="shared" si="1"/>
        <v>2</v>
      </c>
    </row>
    <row r="23" spans="1:26" x14ac:dyDescent="0.25">
      <c r="A23" t="s">
        <v>51</v>
      </c>
      <c r="B23" s="7">
        <v>2</v>
      </c>
      <c r="C23" s="8" t="s">
        <v>22</v>
      </c>
      <c r="D23" s="8" t="s">
        <v>20</v>
      </c>
      <c r="E23" s="2">
        <v>11.2</v>
      </c>
      <c r="F23" s="2">
        <v>13.2</v>
      </c>
      <c r="G23" s="2">
        <v>126</v>
      </c>
      <c r="H23" s="2">
        <v>264</v>
      </c>
      <c r="I23" s="2">
        <v>52.5</v>
      </c>
      <c r="J23" s="2">
        <v>67</v>
      </c>
      <c r="K23" s="2">
        <v>41</v>
      </c>
      <c r="L23" s="2">
        <v>6857</v>
      </c>
      <c r="M23" s="2">
        <v>7</v>
      </c>
      <c r="N23" s="2">
        <v>1</v>
      </c>
      <c r="O23" s="2">
        <v>1</v>
      </c>
      <c r="P23" s="2">
        <v>3</v>
      </c>
      <c r="Q23" s="2">
        <v>0</v>
      </c>
      <c r="R23" s="2">
        <v>37</v>
      </c>
      <c r="S23" s="2">
        <v>4</v>
      </c>
      <c r="T23" s="2">
        <v>2</v>
      </c>
      <c r="U23" s="2">
        <v>6</v>
      </c>
      <c r="V23" s="2">
        <v>0</v>
      </c>
      <c r="W23" s="2">
        <v>1</v>
      </c>
      <c r="X23" s="2">
        <v>5</v>
      </c>
      <c r="Y23">
        <f t="shared" si="0"/>
        <v>25</v>
      </c>
      <c r="Z23">
        <f t="shared" si="1"/>
        <v>1.68</v>
      </c>
    </row>
    <row r="24" spans="1:26" x14ac:dyDescent="0.25">
      <c r="A24" t="s">
        <v>52</v>
      </c>
      <c r="B24" s="7">
        <v>3</v>
      </c>
      <c r="C24" s="8" t="s">
        <v>22</v>
      </c>
      <c r="D24" s="8" t="s">
        <v>20</v>
      </c>
      <c r="E24" s="2">
        <v>11.8</v>
      </c>
      <c r="F24" s="2">
        <v>20.8</v>
      </c>
      <c r="G24" s="2">
        <v>93</v>
      </c>
      <c r="H24" s="2"/>
      <c r="I24" s="2">
        <v>53</v>
      </c>
      <c r="J24" s="2"/>
      <c r="K24" s="2">
        <v>73</v>
      </c>
      <c r="L24" s="2"/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14</v>
      </c>
      <c r="S24" s="2"/>
      <c r="T24" s="2"/>
      <c r="U24" s="2"/>
      <c r="V24" s="2"/>
      <c r="W24" s="2"/>
      <c r="X24" s="2"/>
      <c r="Y24">
        <f t="shared" si="0"/>
        <v>1</v>
      </c>
      <c r="Z24">
        <f t="shared" si="1"/>
        <v>14</v>
      </c>
    </row>
    <row r="25" spans="1:26" x14ac:dyDescent="0.25">
      <c r="A25" t="s">
        <v>53</v>
      </c>
      <c r="B25" s="7">
        <v>4</v>
      </c>
      <c r="C25" s="8" t="s">
        <v>22</v>
      </c>
      <c r="D25" s="8" t="s">
        <v>20</v>
      </c>
      <c r="E25" s="2">
        <v>15.2</v>
      </c>
      <c r="F25" s="2">
        <v>19.899999999999999</v>
      </c>
      <c r="G25" s="2">
        <v>36</v>
      </c>
      <c r="H25" s="2">
        <v>57</v>
      </c>
      <c r="I25" s="2">
        <v>46</v>
      </c>
      <c r="J25" s="2">
        <v>58.8</v>
      </c>
      <c r="K25" s="2">
        <v>49</v>
      </c>
      <c r="L25" s="2">
        <v>5411</v>
      </c>
      <c r="M25" s="2">
        <v>0</v>
      </c>
      <c r="N25" s="2">
        <v>3</v>
      </c>
      <c r="O25" s="2">
        <v>1</v>
      </c>
      <c r="P25" s="2">
        <v>0</v>
      </c>
      <c r="Q25" s="2">
        <v>0</v>
      </c>
      <c r="R25" s="2">
        <v>16</v>
      </c>
      <c r="S25" s="2">
        <v>1</v>
      </c>
      <c r="T25" s="2">
        <v>0</v>
      </c>
      <c r="U25" s="2">
        <v>5</v>
      </c>
      <c r="V25" s="2">
        <v>0</v>
      </c>
      <c r="W25" s="2">
        <v>1</v>
      </c>
      <c r="X25" s="2">
        <v>69</v>
      </c>
      <c r="Y25">
        <f t="shared" si="0"/>
        <v>11</v>
      </c>
      <c r="Z25">
        <f t="shared" si="1"/>
        <v>7.7272727272727275</v>
      </c>
    </row>
    <row r="26" spans="1:26" x14ac:dyDescent="0.25">
      <c r="A26" t="s">
        <v>54</v>
      </c>
      <c r="B26" s="7">
        <v>5</v>
      </c>
      <c r="C26" s="8" t="s">
        <v>22</v>
      </c>
      <c r="D26" s="8" t="s">
        <v>20</v>
      </c>
      <c r="E26" s="2">
        <v>11.4</v>
      </c>
      <c r="F26" s="2">
        <v>27.2</v>
      </c>
      <c r="G26" s="2">
        <v>7</v>
      </c>
      <c r="H26" s="2">
        <v>218</v>
      </c>
      <c r="I26" s="2">
        <v>42.9</v>
      </c>
      <c r="J26" s="2">
        <v>62</v>
      </c>
      <c r="K26" s="2">
        <v>56</v>
      </c>
      <c r="L26" s="2">
        <v>3680</v>
      </c>
      <c r="M26" s="2">
        <v>1</v>
      </c>
      <c r="N26" s="2">
        <v>2</v>
      </c>
      <c r="O26" s="2">
        <v>2</v>
      </c>
      <c r="P26" s="2">
        <v>0</v>
      </c>
      <c r="Q26" s="2">
        <v>0</v>
      </c>
      <c r="R26" s="2">
        <v>54</v>
      </c>
      <c r="S26" s="2">
        <v>20</v>
      </c>
      <c r="T26" s="2">
        <v>0</v>
      </c>
      <c r="U26" s="2">
        <v>1</v>
      </c>
      <c r="V26" s="2">
        <v>3</v>
      </c>
      <c r="W26" s="2">
        <v>0</v>
      </c>
      <c r="X26" s="2">
        <v>72</v>
      </c>
      <c r="Y26">
        <f t="shared" si="0"/>
        <v>29</v>
      </c>
      <c r="Z26">
        <f t="shared" si="1"/>
        <v>4.3448275862068968</v>
      </c>
    </row>
    <row r="27" spans="1:26" x14ac:dyDescent="0.25">
      <c r="A27" t="s">
        <v>55</v>
      </c>
      <c r="B27" s="7">
        <v>6</v>
      </c>
      <c r="C27" s="8" t="s">
        <v>22</v>
      </c>
      <c r="D27" s="8" t="s">
        <v>20</v>
      </c>
      <c r="E27" s="2">
        <v>6.5</v>
      </c>
      <c r="F27" s="2">
        <v>11</v>
      </c>
      <c r="G27" s="2">
        <v>14</v>
      </c>
      <c r="H27" s="2"/>
      <c r="I27" s="2">
        <v>31</v>
      </c>
      <c r="J27" s="2"/>
      <c r="K27" s="2">
        <v>37</v>
      </c>
      <c r="L27" s="2"/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3</v>
      </c>
      <c r="S27" s="2"/>
      <c r="T27" s="2"/>
      <c r="U27" s="2"/>
      <c r="V27" s="2"/>
      <c r="W27" s="2"/>
      <c r="X27" s="2"/>
      <c r="Y27">
        <f t="shared" si="0"/>
        <v>2</v>
      </c>
      <c r="Z27">
        <f t="shared" si="1"/>
        <v>1.5</v>
      </c>
    </row>
    <row r="28" spans="1:26" x14ac:dyDescent="0.25">
      <c r="A28" t="s">
        <v>56</v>
      </c>
      <c r="B28" s="7">
        <v>7</v>
      </c>
      <c r="C28" s="8" t="s">
        <v>22</v>
      </c>
      <c r="D28" s="8" t="s">
        <v>20</v>
      </c>
      <c r="E28" s="2">
        <v>15.5</v>
      </c>
      <c r="F28" s="2">
        <v>22.2</v>
      </c>
      <c r="G28" s="2">
        <v>153</v>
      </c>
      <c r="H28" s="2">
        <v>175</v>
      </c>
      <c r="I28" s="2">
        <v>45</v>
      </c>
      <c r="J28" s="2">
        <v>54</v>
      </c>
      <c r="K28" s="2">
        <v>38</v>
      </c>
      <c r="L28" s="2">
        <v>3270</v>
      </c>
      <c r="M28" s="2">
        <v>10</v>
      </c>
      <c r="N28" s="2">
        <v>1</v>
      </c>
      <c r="O28" s="2">
        <v>7</v>
      </c>
      <c r="P28" s="2">
        <v>3</v>
      </c>
      <c r="Q28" s="2">
        <v>1</v>
      </c>
      <c r="R28" s="2">
        <v>90</v>
      </c>
      <c r="S28" s="2">
        <v>4</v>
      </c>
      <c r="T28" s="2">
        <v>0</v>
      </c>
      <c r="U28" s="2">
        <v>6</v>
      </c>
      <c r="V28" s="2">
        <v>0</v>
      </c>
      <c r="W28" s="2">
        <v>0</v>
      </c>
      <c r="X28" s="2">
        <v>64</v>
      </c>
      <c r="Y28">
        <f t="shared" si="0"/>
        <v>32</v>
      </c>
      <c r="Z28">
        <f t="shared" si="1"/>
        <v>4.8125</v>
      </c>
    </row>
    <row r="29" spans="1:26" x14ac:dyDescent="0.25">
      <c r="A29" t="s">
        <v>57</v>
      </c>
      <c r="B29" s="7">
        <v>8</v>
      </c>
      <c r="C29" s="8" t="s">
        <v>22</v>
      </c>
      <c r="D29" s="8" t="s">
        <v>20</v>
      </c>
      <c r="E29" s="2">
        <v>18.5</v>
      </c>
      <c r="F29" s="2">
        <v>27.5</v>
      </c>
      <c r="G29" s="2">
        <v>269</v>
      </c>
      <c r="H29" s="2"/>
      <c r="I29" s="2">
        <v>78</v>
      </c>
      <c r="J29" s="2"/>
      <c r="K29" s="2">
        <v>59</v>
      </c>
      <c r="L29" s="2">
        <v>11541</v>
      </c>
      <c r="M29" s="2">
        <v>3</v>
      </c>
      <c r="N29" s="2">
        <v>1</v>
      </c>
      <c r="O29" s="2">
        <v>6</v>
      </c>
      <c r="P29" s="2">
        <v>0</v>
      </c>
      <c r="Q29" s="2">
        <v>1</v>
      </c>
      <c r="R29" s="2">
        <v>75</v>
      </c>
      <c r="S29" s="2"/>
      <c r="T29" s="2"/>
      <c r="U29" s="2"/>
      <c r="V29" s="2"/>
      <c r="W29" s="2"/>
      <c r="X29" s="2"/>
      <c r="Y29">
        <f t="shared" si="0"/>
        <v>11</v>
      </c>
      <c r="Z29">
        <f t="shared" si="1"/>
        <v>6.8181818181818183</v>
      </c>
    </row>
    <row r="30" spans="1:26" x14ac:dyDescent="0.25">
      <c r="A30" t="s">
        <v>58</v>
      </c>
      <c r="B30" s="7">
        <v>9</v>
      </c>
      <c r="C30" s="8" t="s">
        <v>22</v>
      </c>
      <c r="D30" s="8" t="s">
        <v>20</v>
      </c>
      <c r="E30" s="2">
        <v>14</v>
      </c>
      <c r="F30" s="2">
        <v>20.2</v>
      </c>
      <c r="G30" s="2"/>
      <c r="H30" s="2"/>
      <c r="I30" s="2"/>
      <c r="J30" s="2"/>
      <c r="K30" s="2">
        <v>38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>
        <f t="shared" si="0"/>
        <v>0</v>
      </c>
      <c r="Z30" t="e">
        <f t="shared" si="1"/>
        <v>#DIV/0!</v>
      </c>
    </row>
    <row r="31" spans="1:26" x14ac:dyDescent="0.25">
      <c r="A31" t="s">
        <v>59</v>
      </c>
      <c r="B31" s="7">
        <v>10</v>
      </c>
      <c r="C31" s="8" t="s">
        <v>22</v>
      </c>
      <c r="D31" s="8" t="s">
        <v>20</v>
      </c>
      <c r="E31" s="2">
        <v>15.7</v>
      </c>
      <c r="F31" s="2">
        <v>25.4</v>
      </c>
      <c r="G31" s="2">
        <v>45</v>
      </c>
      <c r="H31" s="2">
        <v>206</v>
      </c>
      <c r="I31" s="2">
        <v>59</v>
      </c>
      <c r="J31" s="2">
        <v>72</v>
      </c>
      <c r="K31" s="2">
        <v>49</v>
      </c>
      <c r="L31" s="2">
        <v>8306</v>
      </c>
      <c r="M31" s="2">
        <v>1</v>
      </c>
      <c r="N31" s="2">
        <v>2</v>
      </c>
      <c r="O31" s="2">
        <v>1</v>
      </c>
      <c r="P31" s="2">
        <v>0</v>
      </c>
      <c r="Q31" s="2">
        <v>0</v>
      </c>
      <c r="R31" s="2">
        <v>13</v>
      </c>
      <c r="S31" s="2">
        <v>2</v>
      </c>
      <c r="T31" s="2">
        <v>0</v>
      </c>
      <c r="U31" s="2">
        <v>1</v>
      </c>
      <c r="V31" s="2">
        <v>0</v>
      </c>
      <c r="W31" s="2">
        <v>0</v>
      </c>
      <c r="X31" s="2">
        <v>6</v>
      </c>
      <c r="Y31">
        <f t="shared" si="0"/>
        <v>7</v>
      </c>
      <c r="Z31">
        <f t="shared" si="1"/>
        <v>2.7142857142857144</v>
      </c>
    </row>
    <row r="32" spans="1:26" x14ac:dyDescent="0.25">
      <c r="A32" t="s">
        <v>60</v>
      </c>
      <c r="B32" s="7">
        <v>11</v>
      </c>
      <c r="C32" s="8" t="s">
        <v>22</v>
      </c>
      <c r="D32" s="8" t="s">
        <v>20</v>
      </c>
      <c r="E32" s="2">
        <v>13.2</v>
      </c>
      <c r="F32" s="2">
        <v>15.6</v>
      </c>
      <c r="G32" s="2">
        <v>5</v>
      </c>
      <c r="H32" s="2">
        <v>64</v>
      </c>
      <c r="I32" s="2">
        <v>18.5</v>
      </c>
      <c r="J32" s="2">
        <v>25</v>
      </c>
      <c r="K32" s="2">
        <v>52</v>
      </c>
      <c r="L32" s="2">
        <v>1275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3</v>
      </c>
      <c r="S32" s="2">
        <v>0</v>
      </c>
      <c r="T32" s="2">
        <v>1</v>
      </c>
      <c r="U32" s="2">
        <v>0</v>
      </c>
      <c r="V32" s="2">
        <v>0</v>
      </c>
      <c r="W32" s="2">
        <v>0</v>
      </c>
      <c r="X32" s="2">
        <v>3</v>
      </c>
      <c r="Y32">
        <f t="shared" si="0"/>
        <v>2</v>
      </c>
      <c r="Z32">
        <f t="shared" si="1"/>
        <v>3</v>
      </c>
    </row>
    <row r="33" spans="1:26" x14ac:dyDescent="0.25">
      <c r="A33" t="s">
        <v>61</v>
      </c>
      <c r="B33" s="7">
        <v>12</v>
      </c>
      <c r="C33" s="8" t="s">
        <v>22</v>
      </c>
      <c r="D33" s="8" t="s">
        <v>20</v>
      </c>
      <c r="E33" s="2">
        <v>12.5</v>
      </c>
      <c r="F33" s="2">
        <v>18.5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>
        <f t="shared" si="0"/>
        <v>0</v>
      </c>
      <c r="Z33" t="e">
        <f t="shared" si="1"/>
        <v>#DIV/0!</v>
      </c>
    </row>
    <row r="34" spans="1:26" x14ac:dyDescent="0.25">
      <c r="A34" t="s">
        <v>62</v>
      </c>
      <c r="B34" s="7">
        <v>13</v>
      </c>
      <c r="C34" s="8" t="s">
        <v>22</v>
      </c>
      <c r="D34" s="8" t="s">
        <v>20</v>
      </c>
      <c r="E34" s="2">
        <v>11.2</v>
      </c>
      <c r="F34" s="2">
        <v>16</v>
      </c>
      <c r="G34" s="2">
        <v>57</v>
      </c>
      <c r="H34" s="2"/>
      <c r="I34" s="2">
        <v>41</v>
      </c>
      <c r="J34" s="2"/>
      <c r="K34" s="2">
        <v>53</v>
      </c>
      <c r="L34" s="2"/>
      <c r="M34" s="2">
        <v>4</v>
      </c>
      <c r="N34" s="2">
        <v>0</v>
      </c>
      <c r="O34" s="2">
        <v>2</v>
      </c>
      <c r="P34" s="2">
        <v>0</v>
      </c>
      <c r="Q34" s="2">
        <v>1</v>
      </c>
      <c r="R34" s="2">
        <v>36</v>
      </c>
      <c r="S34" s="2"/>
      <c r="T34" s="2"/>
      <c r="U34" s="2"/>
      <c r="V34" s="2"/>
      <c r="W34" s="2"/>
      <c r="X34" s="2"/>
      <c r="Y34">
        <f t="shared" si="0"/>
        <v>7</v>
      </c>
      <c r="Z34">
        <f t="shared" si="1"/>
        <v>5.1428571428571432</v>
      </c>
    </row>
    <row r="35" spans="1:26" x14ac:dyDescent="0.25">
      <c r="A35" t="s">
        <v>63</v>
      </c>
      <c r="B35" s="7">
        <v>14</v>
      </c>
      <c r="C35" s="8" t="s">
        <v>22</v>
      </c>
      <c r="D35" s="8" t="s">
        <v>20</v>
      </c>
      <c r="E35" s="2">
        <v>7.3</v>
      </c>
      <c r="F35" s="2">
        <v>12.7</v>
      </c>
      <c r="G35" s="2"/>
      <c r="H35" s="2">
        <v>15</v>
      </c>
      <c r="I35" s="2"/>
      <c r="J35" s="2">
        <v>19</v>
      </c>
      <c r="K35" s="2">
        <v>52</v>
      </c>
      <c r="L35" s="2">
        <v>737</v>
      </c>
      <c r="M35" s="2"/>
      <c r="N35" s="2"/>
      <c r="O35" s="2"/>
      <c r="P35" s="2"/>
      <c r="Q35" s="2"/>
      <c r="R35" s="2"/>
      <c r="S35" s="2">
        <v>0</v>
      </c>
      <c r="T35" s="2">
        <v>3</v>
      </c>
      <c r="U35" s="2">
        <v>0</v>
      </c>
      <c r="V35" s="2">
        <v>0</v>
      </c>
      <c r="W35" s="2">
        <v>0</v>
      </c>
      <c r="X35" s="2">
        <v>7</v>
      </c>
      <c r="Y35">
        <f t="shared" si="0"/>
        <v>3</v>
      </c>
      <c r="Z35">
        <f t="shared" si="1"/>
        <v>2.3333333333333335</v>
      </c>
    </row>
    <row r="36" spans="1:26" x14ac:dyDescent="0.25">
      <c r="A36" t="s">
        <v>64</v>
      </c>
      <c r="B36" s="7">
        <v>15</v>
      </c>
      <c r="C36" s="8" t="s">
        <v>22</v>
      </c>
      <c r="D36" s="8" t="s">
        <v>20</v>
      </c>
      <c r="E36" s="2">
        <v>12.6</v>
      </c>
      <c r="F36" s="2">
        <v>14.5</v>
      </c>
      <c r="G36" s="2">
        <v>12</v>
      </c>
      <c r="H36" s="2">
        <v>83</v>
      </c>
      <c r="I36" s="2">
        <v>42</v>
      </c>
      <c r="J36" s="2">
        <v>48.7</v>
      </c>
      <c r="K36" s="2">
        <v>40</v>
      </c>
      <c r="L36" s="2">
        <v>804</v>
      </c>
      <c r="M36" s="2">
        <v>1</v>
      </c>
      <c r="N36" s="2">
        <v>0</v>
      </c>
      <c r="O36" s="2">
        <v>5</v>
      </c>
      <c r="P36" s="2">
        <v>0</v>
      </c>
      <c r="Q36" s="2">
        <v>1</v>
      </c>
      <c r="R36" s="2">
        <v>18</v>
      </c>
      <c r="S36" s="2">
        <v>0</v>
      </c>
      <c r="T36" s="2">
        <v>0</v>
      </c>
      <c r="U36" s="2">
        <v>2</v>
      </c>
      <c r="V36" s="2">
        <v>0</v>
      </c>
      <c r="W36" s="2">
        <v>0</v>
      </c>
      <c r="X36" s="2">
        <v>21</v>
      </c>
      <c r="Y36">
        <f t="shared" si="0"/>
        <v>9</v>
      </c>
      <c r="Z36">
        <f t="shared" si="1"/>
        <v>4.333333333333333</v>
      </c>
    </row>
    <row r="37" spans="1:26" x14ac:dyDescent="0.25">
      <c r="A37" t="s">
        <v>65</v>
      </c>
      <c r="B37" s="7">
        <v>16</v>
      </c>
      <c r="C37" s="8" t="s">
        <v>22</v>
      </c>
      <c r="D37" s="8" t="s">
        <v>20</v>
      </c>
      <c r="E37" s="2">
        <v>17.899999999999999</v>
      </c>
      <c r="F37" s="2">
        <v>22.5</v>
      </c>
      <c r="G37" s="2">
        <v>14</v>
      </c>
      <c r="H37" s="2">
        <v>90</v>
      </c>
      <c r="I37" s="2">
        <v>53.3</v>
      </c>
      <c r="J37" s="2">
        <v>32.200000000000003</v>
      </c>
      <c r="K37" s="2">
        <v>40</v>
      </c>
      <c r="L37" s="2">
        <v>2114</v>
      </c>
      <c r="M37" s="2">
        <v>0</v>
      </c>
      <c r="N37" s="2">
        <v>0</v>
      </c>
      <c r="O37" s="2">
        <v>1</v>
      </c>
      <c r="P37" s="2">
        <v>0</v>
      </c>
      <c r="Q37" s="2">
        <v>1</v>
      </c>
      <c r="R37" s="2">
        <v>2</v>
      </c>
      <c r="S37" s="2"/>
      <c r="T37" s="2"/>
      <c r="U37" s="2"/>
      <c r="V37" s="2"/>
      <c r="W37" s="2"/>
      <c r="X37" s="2"/>
      <c r="Y37">
        <f t="shared" si="0"/>
        <v>2</v>
      </c>
      <c r="Z37">
        <f t="shared" si="1"/>
        <v>1</v>
      </c>
    </row>
    <row r="38" spans="1:26" x14ac:dyDescent="0.25">
      <c r="A38" t="s">
        <v>66</v>
      </c>
      <c r="B38" s="7">
        <v>17</v>
      </c>
      <c r="C38" s="8" t="s">
        <v>22</v>
      </c>
      <c r="D38" s="8" t="s">
        <v>20</v>
      </c>
      <c r="E38" s="2">
        <v>17.2</v>
      </c>
      <c r="F38" s="2">
        <v>28</v>
      </c>
      <c r="G38" s="2">
        <v>40</v>
      </c>
      <c r="H38" s="2">
        <v>25</v>
      </c>
      <c r="I38" s="2">
        <v>43.3</v>
      </c>
      <c r="J38" s="2">
        <v>49.4</v>
      </c>
      <c r="K38" s="2">
        <v>39</v>
      </c>
      <c r="L38" s="2"/>
      <c r="M38" s="2">
        <v>2</v>
      </c>
      <c r="N38" s="2">
        <v>2</v>
      </c>
      <c r="O38" s="2">
        <v>1</v>
      </c>
      <c r="P38" s="2">
        <v>0</v>
      </c>
      <c r="Q38" s="2">
        <v>0</v>
      </c>
      <c r="R38" s="2">
        <v>10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2</v>
      </c>
      <c r="Y38">
        <f t="shared" si="0"/>
        <v>6</v>
      </c>
      <c r="Z38">
        <f t="shared" si="1"/>
        <v>2</v>
      </c>
    </row>
    <row r="39" spans="1:26" x14ac:dyDescent="0.25">
      <c r="A39" t="s">
        <v>67</v>
      </c>
      <c r="B39" s="7">
        <v>18</v>
      </c>
      <c r="C39" s="8" t="s">
        <v>22</v>
      </c>
      <c r="D39" s="8" t="s">
        <v>20</v>
      </c>
      <c r="E39" s="2">
        <v>18</v>
      </c>
      <c r="F39" s="2">
        <v>22.4</v>
      </c>
      <c r="G39" s="2">
        <v>20</v>
      </c>
      <c r="H39" s="2">
        <v>1183</v>
      </c>
      <c r="I39" s="2">
        <v>47.6</v>
      </c>
      <c r="J39" s="2">
        <v>70</v>
      </c>
      <c r="K39" s="2">
        <v>43</v>
      </c>
      <c r="L39" s="2">
        <v>13802</v>
      </c>
      <c r="M39" s="2">
        <v>0</v>
      </c>
      <c r="N39" s="2">
        <v>0</v>
      </c>
      <c r="O39" s="2">
        <v>1</v>
      </c>
      <c r="P39" s="2">
        <v>0</v>
      </c>
      <c r="Q39" s="2">
        <v>2</v>
      </c>
      <c r="R39" s="2">
        <v>10</v>
      </c>
      <c r="S39" s="2"/>
      <c r="T39" s="2"/>
      <c r="U39" s="2"/>
      <c r="V39" s="2"/>
      <c r="W39" s="2"/>
      <c r="X39" s="2"/>
      <c r="Y39">
        <f t="shared" si="0"/>
        <v>3</v>
      </c>
      <c r="Z39">
        <f t="shared" si="1"/>
        <v>3.3333333333333335</v>
      </c>
    </row>
    <row r="40" spans="1:26" x14ac:dyDescent="0.25">
      <c r="A40" t="s">
        <v>68</v>
      </c>
      <c r="B40" s="7">
        <v>19</v>
      </c>
      <c r="C40" s="8" t="s">
        <v>22</v>
      </c>
      <c r="D40" s="8" t="s">
        <v>20</v>
      </c>
      <c r="E40" s="2">
        <v>20</v>
      </c>
      <c r="F40" s="2">
        <v>25.8</v>
      </c>
      <c r="G40" s="2">
        <v>354</v>
      </c>
      <c r="H40" s="2">
        <v>1183</v>
      </c>
      <c r="I40" s="2">
        <v>71.3</v>
      </c>
      <c r="J40" s="2">
        <v>72</v>
      </c>
      <c r="K40" s="2">
        <v>59</v>
      </c>
      <c r="L40" s="2">
        <v>2432</v>
      </c>
      <c r="M40" s="2">
        <v>7</v>
      </c>
      <c r="N40" s="2">
        <v>0</v>
      </c>
      <c r="O40" s="2">
        <v>10</v>
      </c>
      <c r="P40" s="2">
        <v>3</v>
      </c>
      <c r="Q40" s="2">
        <v>0</v>
      </c>
      <c r="R40" s="2">
        <v>74</v>
      </c>
      <c r="S40" s="2">
        <v>32</v>
      </c>
      <c r="T40" s="2">
        <v>0</v>
      </c>
      <c r="U40" s="2">
        <v>7</v>
      </c>
      <c r="V40" s="2">
        <v>0</v>
      </c>
      <c r="W40" s="2">
        <v>1</v>
      </c>
      <c r="X40" s="2">
        <v>129</v>
      </c>
      <c r="Y40">
        <f t="shared" si="0"/>
        <v>60</v>
      </c>
      <c r="Z40">
        <f t="shared" si="1"/>
        <v>3.3833333333333333</v>
      </c>
    </row>
    <row r="41" spans="1:26" x14ac:dyDescent="0.25">
      <c r="A41" t="s">
        <v>69</v>
      </c>
      <c r="B41" s="7">
        <v>20</v>
      </c>
      <c r="C41" s="8" t="s">
        <v>22</v>
      </c>
      <c r="D41" s="8" t="s">
        <v>20</v>
      </c>
      <c r="E41" s="2">
        <v>10.6</v>
      </c>
      <c r="F41" s="2">
        <v>24.7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>
        <f t="shared" si="0"/>
        <v>0</v>
      </c>
      <c r="Z41" t="e">
        <f t="shared" si="1"/>
        <v>#DIV/0!</v>
      </c>
    </row>
    <row r="42" spans="1:26" x14ac:dyDescent="0.25">
      <c r="A42" t="s">
        <v>70</v>
      </c>
      <c r="B42" s="7">
        <v>1</v>
      </c>
      <c r="C42" s="8" t="s">
        <v>23</v>
      </c>
      <c r="D42" s="8" t="s">
        <v>20</v>
      </c>
      <c r="E42" s="2">
        <v>15</v>
      </c>
      <c r="F42" s="2">
        <v>18.899999999999999</v>
      </c>
      <c r="G42" s="2">
        <v>114</v>
      </c>
      <c r="H42" s="2"/>
      <c r="I42" s="2">
        <v>50.2</v>
      </c>
      <c r="J42" s="2"/>
      <c r="K42" s="2">
        <v>57</v>
      </c>
      <c r="L42" s="2"/>
      <c r="M42" s="2">
        <v>2</v>
      </c>
      <c r="N42" s="2">
        <v>1</v>
      </c>
      <c r="O42" s="2">
        <v>1</v>
      </c>
      <c r="P42" s="2">
        <v>0</v>
      </c>
      <c r="Q42" s="2">
        <v>0</v>
      </c>
      <c r="R42" s="2">
        <v>22</v>
      </c>
      <c r="S42" s="2"/>
      <c r="T42" s="2"/>
      <c r="U42" s="2"/>
      <c r="V42" s="2"/>
      <c r="W42" s="2"/>
      <c r="X42" s="2"/>
      <c r="Y42">
        <f t="shared" si="0"/>
        <v>4</v>
      </c>
      <c r="Z42">
        <f t="shared" si="1"/>
        <v>5.5</v>
      </c>
    </row>
    <row r="43" spans="1:26" x14ac:dyDescent="0.25">
      <c r="A43" t="s">
        <v>71</v>
      </c>
      <c r="B43" s="7">
        <v>2</v>
      </c>
      <c r="C43" s="8" t="s">
        <v>23</v>
      </c>
      <c r="D43" s="8" t="s">
        <v>20</v>
      </c>
      <c r="E43" s="2">
        <v>11.2</v>
      </c>
      <c r="F43" s="2">
        <v>11.7</v>
      </c>
      <c r="G43" s="2">
        <v>13</v>
      </c>
      <c r="H43" s="2">
        <v>78</v>
      </c>
      <c r="I43" s="2">
        <v>33</v>
      </c>
      <c r="J43" s="2">
        <v>43</v>
      </c>
      <c r="K43" s="2">
        <v>49</v>
      </c>
      <c r="L43" s="2"/>
      <c r="M43" s="2">
        <v>0</v>
      </c>
      <c r="N43" s="2">
        <v>0</v>
      </c>
      <c r="O43" s="2">
        <v>4</v>
      </c>
      <c r="P43" s="2">
        <v>0</v>
      </c>
      <c r="Q43" s="2">
        <v>0</v>
      </c>
      <c r="R43" s="2">
        <v>14</v>
      </c>
      <c r="S43" s="2">
        <v>0</v>
      </c>
      <c r="T43" s="2">
        <v>0</v>
      </c>
      <c r="U43" s="2">
        <v>4</v>
      </c>
      <c r="V43" s="2">
        <v>0</v>
      </c>
      <c r="W43" s="2">
        <v>0</v>
      </c>
      <c r="X43" s="2">
        <v>28</v>
      </c>
      <c r="Y43">
        <f t="shared" si="0"/>
        <v>8</v>
      </c>
      <c r="Z43">
        <f t="shared" si="1"/>
        <v>5.25</v>
      </c>
    </row>
    <row r="44" spans="1:26" x14ac:dyDescent="0.25">
      <c r="A44" t="s">
        <v>72</v>
      </c>
      <c r="B44" s="7">
        <v>3</v>
      </c>
      <c r="C44" s="8" t="s">
        <v>23</v>
      </c>
      <c r="D44" s="8" t="s">
        <v>20</v>
      </c>
      <c r="E44" s="2">
        <v>18.5</v>
      </c>
      <c r="F44" s="2">
        <v>20.399999999999999</v>
      </c>
      <c r="G44" s="2">
        <v>123</v>
      </c>
      <c r="H44" s="2">
        <v>84</v>
      </c>
      <c r="I44" s="2">
        <v>58.2</v>
      </c>
      <c r="J44" s="2">
        <v>61.5</v>
      </c>
      <c r="K44" s="2"/>
      <c r="L44" s="2">
        <v>1772</v>
      </c>
      <c r="M44" s="2">
        <v>5</v>
      </c>
      <c r="N44" s="2">
        <v>0</v>
      </c>
      <c r="O44" s="2">
        <v>10</v>
      </c>
      <c r="P44" s="2">
        <v>1</v>
      </c>
      <c r="Q44" s="2">
        <v>0</v>
      </c>
      <c r="R44" s="2">
        <v>90</v>
      </c>
      <c r="S44" s="2">
        <v>6</v>
      </c>
      <c r="T44" s="2">
        <v>1</v>
      </c>
      <c r="U44" s="2">
        <v>2</v>
      </c>
      <c r="V44" s="2">
        <v>0</v>
      </c>
      <c r="W44" s="2">
        <v>0</v>
      </c>
      <c r="X44" s="2">
        <v>46</v>
      </c>
      <c r="Y44">
        <f t="shared" si="0"/>
        <v>25</v>
      </c>
      <c r="Z44">
        <f t="shared" si="1"/>
        <v>5.44</v>
      </c>
    </row>
    <row r="45" spans="1:26" x14ac:dyDescent="0.25">
      <c r="A45" t="s">
        <v>73</v>
      </c>
      <c r="B45" s="7">
        <v>4</v>
      </c>
      <c r="C45" s="8" t="s">
        <v>23</v>
      </c>
      <c r="D45" s="8" t="s">
        <v>20</v>
      </c>
      <c r="E45" s="2">
        <v>13</v>
      </c>
      <c r="F45" s="2">
        <v>23.2</v>
      </c>
      <c r="G45" s="2">
        <v>22</v>
      </c>
      <c r="H45" s="2">
        <v>295</v>
      </c>
      <c r="I45" s="2">
        <v>52.3</v>
      </c>
      <c r="J45" s="2">
        <v>56</v>
      </c>
      <c r="K45" s="2">
        <v>40</v>
      </c>
      <c r="L45" s="2">
        <v>5286</v>
      </c>
      <c r="M45" s="2">
        <v>1</v>
      </c>
      <c r="N45" s="2">
        <v>0</v>
      </c>
      <c r="O45" s="2">
        <v>2</v>
      </c>
      <c r="P45" s="2">
        <v>1</v>
      </c>
      <c r="Q45" s="2">
        <v>1</v>
      </c>
      <c r="R45" s="2">
        <v>5</v>
      </c>
      <c r="S45" s="2">
        <v>10</v>
      </c>
      <c r="T45" s="2">
        <v>0</v>
      </c>
      <c r="U45" s="2">
        <v>5</v>
      </c>
      <c r="V45" s="2">
        <v>1</v>
      </c>
      <c r="W45" s="2">
        <v>3</v>
      </c>
      <c r="X45" s="2">
        <v>66</v>
      </c>
      <c r="Y45">
        <f t="shared" si="0"/>
        <v>24</v>
      </c>
      <c r="Z45">
        <f t="shared" si="1"/>
        <v>2.9583333333333335</v>
      </c>
    </row>
    <row r="46" spans="1:26" x14ac:dyDescent="0.25">
      <c r="A46" t="s">
        <v>74</v>
      </c>
      <c r="B46" s="7">
        <v>5</v>
      </c>
      <c r="C46" s="8" t="s">
        <v>23</v>
      </c>
      <c r="D46" s="8" t="s">
        <v>20</v>
      </c>
      <c r="E46" s="2">
        <v>17.8</v>
      </c>
      <c r="F46" s="2">
        <v>27</v>
      </c>
      <c r="G46" s="2">
        <v>56</v>
      </c>
      <c r="H46" s="2">
        <v>143</v>
      </c>
      <c r="I46" s="2">
        <v>46.3</v>
      </c>
      <c r="J46" s="2">
        <v>52.4</v>
      </c>
      <c r="K46" s="2">
        <v>46</v>
      </c>
      <c r="L46" s="2">
        <v>9599</v>
      </c>
      <c r="M46" s="2"/>
      <c r="N46" s="2"/>
      <c r="O46" s="2"/>
      <c r="P46" s="2"/>
      <c r="Q46" s="2"/>
      <c r="R46" s="2"/>
      <c r="S46" s="2">
        <v>2</v>
      </c>
      <c r="T46" s="2">
        <v>1</v>
      </c>
      <c r="U46" s="2">
        <v>7</v>
      </c>
      <c r="V46" s="2">
        <v>0</v>
      </c>
      <c r="W46" s="2">
        <v>2</v>
      </c>
      <c r="X46" s="2">
        <v>4</v>
      </c>
      <c r="Y46">
        <f t="shared" si="0"/>
        <v>12</v>
      </c>
      <c r="Z46">
        <f t="shared" si="1"/>
        <v>0.33333333333333331</v>
      </c>
    </row>
    <row r="47" spans="1:26" x14ac:dyDescent="0.25">
      <c r="A47" t="s">
        <v>75</v>
      </c>
      <c r="B47" s="7">
        <v>6</v>
      </c>
      <c r="C47" s="8" t="s">
        <v>23</v>
      </c>
      <c r="D47" s="8" t="s">
        <v>20</v>
      </c>
      <c r="E47" s="2">
        <v>16.7</v>
      </c>
      <c r="F47" s="2">
        <v>21.4</v>
      </c>
      <c r="G47" s="2">
        <v>45</v>
      </c>
      <c r="H47" s="2">
        <v>124</v>
      </c>
      <c r="I47" s="2">
        <v>43</v>
      </c>
      <c r="J47" s="2">
        <v>58.8</v>
      </c>
      <c r="K47" s="2">
        <v>41</v>
      </c>
      <c r="L47" s="2">
        <v>1302</v>
      </c>
      <c r="M47" s="2">
        <v>1</v>
      </c>
      <c r="N47" s="2">
        <v>1</v>
      </c>
      <c r="O47" s="2">
        <v>2</v>
      </c>
      <c r="P47" s="2">
        <v>0</v>
      </c>
      <c r="Q47" s="2">
        <v>0</v>
      </c>
      <c r="R47" s="2">
        <v>27</v>
      </c>
      <c r="S47" s="2">
        <v>2</v>
      </c>
      <c r="T47" s="2">
        <v>0</v>
      </c>
      <c r="U47" s="2">
        <v>3</v>
      </c>
      <c r="V47" s="2">
        <v>0</v>
      </c>
      <c r="W47" s="2">
        <v>0</v>
      </c>
      <c r="X47" s="2">
        <v>21</v>
      </c>
      <c r="Y47">
        <f t="shared" si="0"/>
        <v>9</v>
      </c>
      <c r="Z47">
        <f t="shared" si="1"/>
        <v>5.333333333333333</v>
      </c>
    </row>
    <row r="48" spans="1:26" x14ac:dyDescent="0.25">
      <c r="A48" t="s">
        <v>76</v>
      </c>
      <c r="B48" s="7">
        <v>7</v>
      </c>
      <c r="C48" s="8" t="s">
        <v>23</v>
      </c>
      <c r="D48" s="8" t="s">
        <v>20</v>
      </c>
      <c r="E48" s="2">
        <v>16</v>
      </c>
      <c r="F48" s="2">
        <v>23.5</v>
      </c>
      <c r="G48" s="2">
        <v>179</v>
      </c>
      <c r="H48" s="2">
        <v>240</v>
      </c>
      <c r="I48" s="2">
        <v>67</v>
      </c>
      <c r="J48" s="2">
        <v>78</v>
      </c>
      <c r="K48" s="2">
        <v>54</v>
      </c>
      <c r="L48" s="2">
        <v>1099</v>
      </c>
      <c r="M48" s="2">
        <v>2</v>
      </c>
      <c r="N48" s="2">
        <v>0</v>
      </c>
      <c r="O48" s="2">
        <v>10</v>
      </c>
      <c r="P48" s="2">
        <v>0</v>
      </c>
      <c r="Q48" s="2">
        <v>0</v>
      </c>
      <c r="R48" s="2">
        <v>5</v>
      </c>
      <c r="S48" s="2">
        <v>3</v>
      </c>
      <c r="T48" s="2">
        <v>3</v>
      </c>
      <c r="U48" s="2">
        <v>3</v>
      </c>
      <c r="V48" s="2">
        <v>0</v>
      </c>
      <c r="W48" s="2">
        <v>0</v>
      </c>
      <c r="X48" s="2">
        <v>67</v>
      </c>
      <c r="Y48">
        <f t="shared" si="0"/>
        <v>21</v>
      </c>
      <c r="Z48">
        <f t="shared" si="1"/>
        <v>3.4285714285714284</v>
      </c>
    </row>
    <row r="49" spans="1:26" x14ac:dyDescent="0.25">
      <c r="A49" t="s">
        <v>77</v>
      </c>
      <c r="B49" s="7">
        <v>8</v>
      </c>
      <c r="C49" s="8" t="s">
        <v>23</v>
      </c>
      <c r="D49" s="8" t="s">
        <v>20</v>
      </c>
      <c r="E49" s="2">
        <v>12.4</v>
      </c>
      <c r="F49" s="2">
        <v>23</v>
      </c>
      <c r="G49" s="2">
        <v>24</v>
      </c>
      <c r="H49" s="2"/>
      <c r="I49" s="2">
        <v>49.5</v>
      </c>
      <c r="J49" s="2"/>
      <c r="K49" s="2">
        <v>38</v>
      </c>
      <c r="L49" s="2">
        <v>9463</v>
      </c>
      <c r="M49" s="2">
        <v>0</v>
      </c>
      <c r="N49" s="2">
        <v>3</v>
      </c>
      <c r="O49" s="2">
        <v>0</v>
      </c>
      <c r="P49" s="2">
        <v>0</v>
      </c>
      <c r="Q49" s="2">
        <v>0</v>
      </c>
      <c r="R49" s="2">
        <v>8</v>
      </c>
      <c r="S49" s="2"/>
      <c r="T49" s="2"/>
      <c r="U49" s="2"/>
      <c r="V49" s="2"/>
      <c r="W49" s="2"/>
      <c r="X49" s="2"/>
      <c r="Y49">
        <f t="shared" si="0"/>
        <v>3</v>
      </c>
      <c r="Z49">
        <f t="shared" si="1"/>
        <v>2.6666666666666665</v>
      </c>
    </row>
    <row r="50" spans="1:26" x14ac:dyDescent="0.25">
      <c r="A50" t="s">
        <v>78</v>
      </c>
      <c r="B50" s="7">
        <v>9</v>
      </c>
      <c r="C50" s="8" t="s">
        <v>23</v>
      </c>
      <c r="D50" s="8" t="s">
        <v>20</v>
      </c>
      <c r="E50" s="2">
        <v>15.3</v>
      </c>
      <c r="F50" s="2"/>
      <c r="G50" s="2"/>
      <c r="H50" s="2"/>
      <c r="I50" s="2"/>
      <c r="J50" s="2"/>
      <c r="K50" s="2">
        <v>39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>
        <f t="shared" si="0"/>
        <v>0</v>
      </c>
      <c r="Z50" t="e">
        <f t="shared" si="1"/>
        <v>#DIV/0!</v>
      </c>
    </row>
    <row r="51" spans="1:26" x14ac:dyDescent="0.25">
      <c r="A51" t="s">
        <v>79</v>
      </c>
      <c r="B51" s="7">
        <v>10</v>
      </c>
      <c r="C51" s="8" t="s">
        <v>23</v>
      </c>
      <c r="D51" s="8" t="s">
        <v>20</v>
      </c>
      <c r="E51" s="2">
        <v>15.5</v>
      </c>
      <c r="F51" s="2">
        <v>27</v>
      </c>
      <c r="G51" s="2">
        <v>14</v>
      </c>
      <c r="H51" s="2"/>
      <c r="I51" s="2">
        <v>49</v>
      </c>
      <c r="J51" s="2"/>
      <c r="K51" s="2">
        <v>38</v>
      </c>
      <c r="L51" s="2">
        <v>4119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3</v>
      </c>
      <c r="S51" s="2"/>
      <c r="T51" s="2"/>
      <c r="U51" s="2"/>
      <c r="V51" s="2"/>
      <c r="W51" s="2"/>
      <c r="X51" s="2"/>
      <c r="Y51">
        <f t="shared" si="0"/>
        <v>1</v>
      </c>
      <c r="Z51">
        <f t="shared" si="1"/>
        <v>3</v>
      </c>
    </row>
    <row r="52" spans="1:26" x14ac:dyDescent="0.25">
      <c r="A52" t="s">
        <v>80</v>
      </c>
      <c r="B52" s="7">
        <v>11</v>
      </c>
      <c r="C52" s="8" t="s">
        <v>23</v>
      </c>
      <c r="D52" s="8" t="s">
        <v>20</v>
      </c>
      <c r="E52" s="2">
        <v>13.7</v>
      </c>
      <c r="F52" s="2">
        <v>27.8</v>
      </c>
      <c r="G52" s="2">
        <v>11</v>
      </c>
      <c r="H52" s="2"/>
      <c r="I52" s="2">
        <v>49</v>
      </c>
      <c r="J52" s="2"/>
      <c r="K52" s="2">
        <v>40</v>
      </c>
      <c r="L52" s="2"/>
      <c r="M52" s="2">
        <v>0</v>
      </c>
      <c r="N52" s="2">
        <v>1</v>
      </c>
      <c r="O52" s="2">
        <v>1</v>
      </c>
      <c r="P52" s="2">
        <v>0</v>
      </c>
      <c r="Q52" s="2">
        <v>0</v>
      </c>
      <c r="R52" s="2">
        <v>5</v>
      </c>
      <c r="S52" s="2"/>
      <c r="T52" s="2"/>
      <c r="U52" s="2"/>
      <c r="V52" s="2"/>
      <c r="W52" s="2"/>
      <c r="X52" s="2"/>
      <c r="Y52">
        <f t="shared" si="0"/>
        <v>2</v>
      </c>
      <c r="Z52">
        <f t="shared" si="1"/>
        <v>2.5</v>
      </c>
    </row>
    <row r="53" spans="1:26" x14ac:dyDescent="0.25">
      <c r="A53" t="s">
        <v>81</v>
      </c>
      <c r="B53" s="7">
        <v>12</v>
      </c>
      <c r="C53" s="8" t="s">
        <v>23</v>
      </c>
      <c r="D53" s="8" t="s">
        <v>20</v>
      </c>
      <c r="E53" s="2">
        <v>13.5</v>
      </c>
      <c r="F53" s="2">
        <v>21.9</v>
      </c>
      <c r="G53" s="2">
        <v>115</v>
      </c>
      <c r="H53" s="2">
        <v>287</v>
      </c>
      <c r="I53" s="2">
        <v>70</v>
      </c>
      <c r="J53" s="2">
        <v>88</v>
      </c>
      <c r="K53" s="2">
        <v>44</v>
      </c>
      <c r="L53" s="2">
        <v>33423</v>
      </c>
      <c r="M53" s="2">
        <v>3</v>
      </c>
      <c r="N53" s="2">
        <v>2</v>
      </c>
      <c r="O53" s="2">
        <v>8</v>
      </c>
      <c r="P53" s="2">
        <v>2</v>
      </c>
      <c r="Q53" s="2">
        <v>0</v>
      </c>
      <c r="R53" s="2">
        <v>71</v>
      </c>
      <c r="S53" s="2"/>
      <c r="T53" s="2"/>
      <c r="U53" s="2"/>
      <c r="V53" s="2"/>
      <c r="W53" s="2"/>
      <c r="X53" s="2"/>
      <c r="Y53">
        <f t="shared" si="0"/>
        <v>15</v>
      </c>
      <c r="Z53">
        <f t="shared" si="1"/>
        <v>4.7333333333333334</v>
      </c>
    </row>
    <row r="54" spans="1:26" x14ac:dyDescent="0.25">
      <c r="A54" t="s">
        <v>82</v>
      </c>
      <c r="B54" s="7">
        <v>13</v>
      </c>
      <c r="C54" s="8" t="s">
        <v>23</v>
      </c>
      <c r="D54" s="8" t="s">
        <v>20</v>
      </c>
      <c r="E54" s="2">
        <v>14.8</v>
      </c>
      <c r="F54" s="2">
        <v>18.600000000000001</v>
      </c>
      <c r="G54" s="2">
        <v>30</v>
      </c>
      <c r="H54" s="2">
        <v>86</v>
      </c>
      <c r="I54" s="2">
        <v>45</v>
      </c>
      <c r="J54" s="2">
        <v>56.4</v>
      </c>
      <c r="K54" s="2">
        <v>45</v>
      </c>
      <c r="L54" s="2">
        <v>10885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4</v>
      </c>
      <c r="S54" s="2">
        <v>0</v>
      </c>
      <c r="T54" s="2">
        <v>2</v>
      </c>
      <c r="U54" s="2">
        <v>4</v>
      </c>
      <c r="V54" s="2">
        <v>0</v>
      </c>
      <c r="W54" s="2">
        <v>0</v>
      </c>
      <c r="X54" s="2">
        <v>26</v>
      </c>
      <c r="Y54">
        <f t="shared" si="0"/>
        <v>8</v>
      </c>
      <c r="Z54">
        <f t="shared" si="1"/>
        <v>3.75</v>
      </c>
    </row>
    <row r="55" spans="1:26" x14ac:dyDescent="0.25">
      <c r="A55" t="s">
        <v>83</v>
      </c>
      <c r="B55" s="7">
        <v>14</v>
      </c>
      <c r="C55" s="8" t="s">
        <v>23</v>
      </c>
      <c r="D55" s="8" t="s">
        <v>20</v>
      </c>
      <c r="E55" s="2">
        <v>15</v>
      </c>
      <c r="F55" s="2">
        <v>22.4</v>
      </c>
      <c r="G55" s="2">
        <v>15</v>
      </c>
      <c r="H55" s="2">
        <v>138</v>
      </c>
      <c r="I55" s="2">
        <v>46.5</v>
      </c>
      <c r="J55" s="2">
        <v>55</v>
      </c>
      <c r="K55" s="2">
        <v>48</v>
      </c>
      <c r="L55" s="2">
        <v>8719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3</v>
      </c>
      <c r="S55" s="2">
        <v>10</v>
      </c>
      <c r="T55" s="2">
        <v>3</v>
      </c>
      <c r="U55" s="2">
        <v>3</v>
      </c>
      <c r="V55" s="2">
        <v>0</v>
      </c>
      <c r="W55" s="2">
        <v>1</v>
      </c>
      <c r="X55" s="2">
        <v>42</v>
      </c>
      <c r="Y55">
        <f t="shared" si="0"/>
        <v>18</v>
      </c>
      <c r="Z55">
        <f t="shared" si="1"/>
        <v>2.5</v>
      </c>
    </row>
    <row r="56" spans="1:26" x14ac:dyDescent="0.25">
      <c r="A56" t="s">
        <v>84</v>
      </c>
      <c r="B56" s="7">
        <v>15</v>
      </c>
      <c r="C56" s="8" t="s">
        <v>23</v>
      </c>
      <c r="D56" s="8" t="s">
        <v>20</v>
      </c>
      <c r="E56" s="2">
        <v>16.5</v>
      </c>
      <c r="F56" s="2">
        <v>18.899999999999999</v>
      </c>
      <c r="G56" s="2">
        <v>2</v>
      </c>
      <c r="H56" s="2"/>
      <c r="I56" s="2">
        <v>23</v>
      </c>
      <c r="J56" s="2"/>
      <c r="K56" s="2">
        <v>38</v>
      </c>
      <c r="L56" s="2">
        <v>9304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>
        <f t="shared" si="0"/>
        <v>0</v>
      </c>
      <c r="Z56" t="e">
        <f t="shared" si="1"/>
        <v>#DIV/0!</v>
      </c>
    </row>
    <row r="57" spans="1:26" x14ac:dyDescent="0.25">
      <c r="A57" t="s">
        <v>85</v>
      </c>
      <c r="B57" s="7">
        <v>16</v>
      </c>
      <c r="C57" s="8" t="s">
        <v>23</v>
      </c>
      <c r="D57" s="8" t="s">
        <v>20</v>
      </c>
      <c r="E57" s="2">
        <v>17.7</v>
      </c>
      <c r="F57" s="2">
        <v>29.4</v>
      </c>
      <c r="G57" s="2">
        <v>36</v>
      </c>
      <c r="H57" s="2"/>
      <c r="I57" s="2">
        <v>68</v>
      </c>
      <c r="J57" s="2"/>
      <c r="K57" s="2">
        <v>39</v>
      </c>
      <c r="L57" s="2">
        <v>3137</v>
      </c>
      <c r="M57" s="2">
        <v>0</v>
      </c>
      <c r="N57" s="2">
        <v>1</v>
      </c>
      <c r="O57" s="2">
        <v>0</v>
      </c>
      <c r="P57" s="2">
        <v>1</v>
      </c>
      <c r="Q57" s="2">
        <v>0</v>
      </c>
      <c r="R57" s="2">
        <v>5</v>
      </c>
      <c r="S57" s="2"/>
      <c r="T57" s="2"/>
      <c r="U57" s="2"/>
      <c r="V57" s="2"/>
      <c r="W57" s="2"/>
      <c r="X57" s="2"/>
      <c r="Y57">
        <f t="shared" si="0"/>
        <v>2</v>
      </c>
      <c r="Z57">
        <f t="shared" si="1"/>
        <v>2.5</v>
      </c>
    </row>
    <row r="58" spans="1:26" x14ac:dyDescent="0.25">
      <c r="A58" t="s">
        <v>86</v>
      </c>
      <c r="B58" s="7">
        <v>17</v>
      </c>
      <c r="C58" s="8" t="s">
        <v>23</v>
      </c>
      <c r="D58" s="8" t="s">
        <v>20</v>
      </c>
      <c r="E58" s="2">
        <v>14.9</v>
      </c>
      <c r="F58" s="2">
        <v>19.399999999999999</v>
      </c>
      <c r="G58" s="2"/>
      <c r="H58" s="2"/>
      <c r="I58" s="2"/>
      <c r="J58" s="2"/>
      <c r="K58" s="2">
        <v>63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>
        <f t="shared" si="0"/>
        <v>0</v>
      </c>
      <c r="Z58" t="e">
        <f t="shared" si="1"/>
        <v>#DIV/0!</v>
      </c>
    </row>
    <row r="59" spans="1:26" x14ac:dyDescent="0.25">
      <c r="A59" t="s">
        <v>87</v>
      </c>
      <c r="B59" s="7">
        <v>18</v>
      </c>
      <c r="C59" s="8" t="s">
        <v>23</v>
      </c>
      <c r="D59" s="8" t="s">
        <v>20</v>
      </c>
      <c r="E59" s="2">
        <v>8.1999999999999993</v>
      </c>
      <c r="F59" s="2">
        <v>18.399999999999999</v>
      </c>
      <c r="G59" s="2">
        <v>13</v>
      </c>
      <c r="H59" s="2">
        <v>12</v>
      </c>
      <c r="I59" s="2">
        <v>38</v>
      </c>
      <c r="J59" s="2">
        <v>47.2</v>
      </c>
      <c r="K59" s="2">
        <v>48</v>
      </c>
      <c r="L59" s="2"/>
      <c r="M59" s="2">
        <v>0</v>
      </c>
      <c r="N59" s="2">
        <v>0</v>
      </c>
      <c r="O59" s="2">
        <v>2</v>
      </c>
      <c r="P59" s="2">
        <v>0</v>
      </c>
      <c r="Q59" s="2">
        <v>0</v>
      </c>
      <c r="R59" s="2">
        <v>13</v>
      </c>
      <c r="S59" s="2">
        <v>3</v>
      </c>
      <c r="T59" s="2">
        <v>0</v>
      </c>
      <c r="U59" s="2">
        <v>1</v>
      </c>
      <c r="V59" s="2">
        <v>0</v>
      </c>
      <c r="W59" s="2">
        <v>0</v>
      </c>
      <c r="X59" s="2">
        <v>15</v>
      </c>
      <c r="Y59">
        <f t="shared" si="0"/>
        <v>6</v>
      </c>
      <c r="Z59">
        <f t="shared" si="1"/>
        <v>4.666666666666667</v>
      </c>
    </row>
    <row r="60" spans="1:26" x14ac:dyDescent="0.25">
      <c r="A60" t="s">
        <v>88</v>
      </c>
      <c r="B60" s="7">
        <v>19</v>
      </c>
      <c r="C60" s="8" t="s">
        <v>23</v>
      </c>
      <c r="D60" s="8" t="s">
        <v>20</v>
      </c>
      <c r="E60" s="2">
        <v>7.5</v>
      </c>
      <c r="F60" s="2">
        <v>19</v>
      </c>
      <c r="G60" s="2"/>
      <c r="H60" s="2">
        <v>53</v>
      </c>
      <c r="I60" s="2"/>
      <c r="J60" s="2">
        <v>57</v>
      </c>
      <c r="K60" s="2">
        <v>49</v>
      </c>
      <c r="L60" s="2"/>
      <c r="M60" s="2"/>
      <c r="N60" s="2"/>
      <c r="O60" s="2"/>
      <c r="P60" s="2"/>
      <c r="Q60" s="2"/>
      <c r="R60" s="2"/>
      <c r="S60" s="2">
        <v>3</v>
      </c>
      <c r="T60" s="2">
        <v>0</v>
      </c>
      <c r="U60" s="2">
        <v>0</v>
      </c>
      <c r="V60" s="2">
        <v>0</v>
      </c>
      <c r="W60" s="2">
        <v>0</v>
      </c>
      <c r="X60" s="2">
        <v>19</v>
      </c>
      <c r="Y60">
        <f t="shared" si="0"/>
        <v>3</v>
      </c>
      <c r="Z60">
        <f t="shared" si="1"/>
        <v>6.333333333333333</v>
      </c>
    </row>
    <row r="61" spans="1:26" x14ac:dyDescent="0.25">
      <c r="A61" t="s">
        <v>89</v>
      </c>
      <c r="B61" s="7">
        <v>20</v>
      </c>
      <c r="C61" s="8" t="s">
        <v>23</v>
      </c>
      <c r="D61" s="8" t="s">
        <v>20</v>
      </c>
      <c r="E61" s="2">
        <v>4</v>
      </c>
      <c r="F61" s="2">
        <v>11.5</v>
      </c>
      <c r="G61" s="2"/>
      <c r="H61" s="2">
        <v>8</v>
      </c>
      <c r="I61" s="2"/>
      <c r="J61" s="2">
        <v>30</v>
      </c>
      <c r="K61" s="2">
        <v>52</v>
      </c>
      <c r="L61" s="2"/>
      <c r="M61" s="2"/>
      <c r="N61" s="2"/>
      <c r="O61" s="2"/>
      <c r="P61" s="2"/>
      <c r="Q61" s="2"/>
      <c r="R61" s="2"/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3</v>
      </c>
      <c r="Y61">
        <f t="shared" si="0"/>
        <v>1</v>
      </c>
      <c r="Z61">
        <f t="shared" si="1"/>
        <v>3</v>
      </c>
    </row>
    <row r="62" spans="1:26" x14ac:dyDescent="0.25">
      <c r="A62" t="s">
        <v>90</v>
      </c>
      <c r="B62" s="7">
        <v>1</v>
      </c>
      <c r="C62" s="8" t="s">
        <v>24</v>
      </c>
      <c r="D62" s="8" t="s">
        <v>20</v>
      </c>
      <c r="E62" s="2">
        <v>15.5</v>
      </c>
      <c r="F62" s="2">
        <v>20.2</v>
      </c>
      <c r="G62" s="2"/>
      <c r="H62" s="2">
        <v>401</v>
      </c>
      <c r="I62" s="2"/>
      <c r="J62" s="2">
        <v>51</v>
      </c>
      <c r="K62" s="2">
        <v>49</v>
      </c>
      <c r="L62" s="2">
        <v>16758</v>
      </c>
      <c r="M62" s="2"/>
      <c r="N62" s="2"/>
      <c r="O62" s="2"/>
      <c r="P62" s="2"/>
      <c r="Q62" s="2"/>
      <c r="R62" s="2"/>
      <c r="S62" s="2">
        <v>5</v>
      </c>
      <c r="T62" s="2">
        <v>0</v>
      </c>
      <c r="U62" s="2">
        <v>2</v>
      </c>
      <c r="V62" s="2">
        <v>2</v>
      </c>
      <c r="W62" s="2">
        <v>0</v>
      </c>
      <c r="X62" s="2">
        <v>95</v>
      </c>
      <c r="Y62">
        <f t="shared" si="0"/>
        <v>9</v>
      </c>
      <c r="Z62">
        <f t="shared" si="1"/>
        <v>10.555555555555555</v>
      </c>
    </row>
    <row r="63" spans="1:26" x14ac:dyDescent="0.25">
      <c r="A63" t="s">
        <v>91</v>
      </c>
      <c r="B63" s="7">
        <v>2</v>
      </c>
      <c r="C63" s="8" t="s">
        <v>24</v>
      </c>
      <c r="D63" s="8" t="s">
        <v>20</v>
      </c>
      <c r="E63" s="2">
        <v>16</v>
      </c>
      <c r="F63" s="2">
        <v>20</v>
      </c>
      <c r="G63" s="2">
        <v>16</v>
      </c>
      <c r="H63" s="2">
        <v>44</v>
      </c>
      <c r="I63" s="2">
        <v>40.4</v>
      </c>
      <c r="J63" s="2">
        <v>46.8</v>
      </c>
      <c r="K63" s="2">
        <v>49</v>
      </c>
      <c r="L63" s="2">
        <v>526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3</v>
      </c>
      <c r="S63" s="2">
        <v>0</v>
      </c>
      <c r="T63" s="2">
        <v>0</v>
      </c>
      <c r="U63" s="2">
        <v>3</v>
      </c>
      <c r="V63" s="2">
        <v>0</v>
      </c>
      <c r="W63" s="2">
        <v>1</v>
      </c>
      <c r="X63" s="2">
        <v>17</v>
      </c>
      <c r="Y63">
        <f t="shared" si="0"/>
        <v>5</v>
      </c>
      <c r="Z63">
        <f t="shared" si="1"/>
        <v>4</v>
      </c>
    </row>
    <row r="64" spans="1:26" x14ac:dyDescent="0.25">
      <c r="A64" t="s">
        <v>92</v>
      </c>
      <c r="B64" s="7">
        <v>3</v>
      </c>
      <c r="C64" s="8" t="s">
        <v>24</v>
      </c>
      <c r="D64" s="8" t="s">
        <v>20</v>
      </c>
      <c r="E64" s="2">
        <v>13</v>
      </c>
      <c r="F64" s="2">
        <v>22.2</v>
      </c>
      <c r="G64" s="2">
        <v>15</v>
      </c>
      <c r="H64" s="2"/>
      <c r="I64" s="2">
        <v>54</v>
      </c>
      <c r="J64" s="2"/>
      <c r="K64" s="2">
        <v>49</v>
      </c>
      <c r="L64" s="2">
        <v>6784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7</v>
      </c>
      <c r="S64" s="2"/>
      <c r="T64" s="2"/>
      <c r="U64" s="2"/>
      <c r="V64" s="2"/>
      <c r="W64" s="2"/>
      <c r="X64" s="2"/>
      <c r="Y64">
        <f t="shared" si="0"/>
        <v>1</v>
      </c>
      <c r="Z64">
        <f t="shared" si="1"/>
        <v>7</v>
      </c>
    </row>
    <row r="65" spans="1:26" x14ac:dyDescent="0.25">
      <c r="A65" t="s">
        <v>93</v>
      </c>
      <c r="B65" s="7">
        <v>4</v>
      </c>
      <c r="C65" s="8" t="s">
        <v>24</v>
      </c>
      <c r="D65" s="8" t="s">
        <v>20</v>
      </c>
      <c r="E65" s="2">
        <v>15.6</v>
      </c>
      <c r="F65" s="2">
        <v>18</v>
      </c>
      <c r="G65" s="2">
        <v>34</v>
      </c>
      <c r="H65" s="2"/>
      <c r="I65" s="2">
        <v>77</v>
      </c>
      <c r="J65" s="2"/>
      <c r="K65" s="2">
        <v>37</v>
      </c>
      <c r="L65" s="2">
        <v>5241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3</v>
      </c>
      <c r="S65" s="2"/>
      <c r="T65" s="2"/>
      <c r="U65" s="2"/>
      <c r="V65" s="2"/>
      <c r="W65" s="2"/>
      <c r="X65" s="2"/>
      <c r="Y65">
        <f t="shared" si="0"/>
        <v>1</v>
      </c>
      <c r="Z65">
        <f t="shared" si="1"/>
        <v>3</v>
      </c>
    </row>
    <row r="66" spans="1:26" x14ac:dyDescent="0.25">
      <c r="A66" t="s">
        <v>94</v>
      </c>
      <c r="B66" s="7">
        <v>5</v>
      </c>
      <c r="C66" s="8" t="s">
        <v>24</v>
      </c>
      <c r="D66" s="8" t="s">
        <v>20</v>
      </c>
      <c r="E66" s="2">
        <v>17</v>
      </c>
      <c r="F66" s="2">
        <v>22.5</v>
      </c>
      <c r="G66" s="2"/>
      <c r="H66" s="2"/>
      <c r="I66" s="2"/>
      <c r="J66" s="2"/>
      <c r="K66" s="2">
        <v>37</v>
      </c>
      <c r="L66" s="2">
        <v>456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>
        <f t="shared" si="0"/>
        <v>0</v>
      </c>
      <c r="Z66" t="e">
        <f t="shared" si="1"/>
        <v>#DIV/0!</v>
      </c>
    </row>
    <row r="67" spans="1:26" x14ac:dyDescent="0.25">
      <c r="A67" t="s">
        <v>95</v>
      </c>
      <c r="B67" s="7">
        <v>6</v>
      </c>
      <c r="C67" s="8" t="s">
        <v>24</v>
      </c>
      <c r="D67" s="8" t="s">
        <v>20</v>
      </c>
      <c r="E67" s="2">
        <v>9.8000000000000007</v>
      </c>
      <c r="F67" s="2">
        <v>22</v>
      </c>
      <c r="G67" s="2">
        <v>46</v>
      </c>
      <c r="H67" s="2">
        <v>10</v>
      </c>
      <c r="I67" s="2">
        <v>46</v>
      </c>
      <c r="J67" s="2">
        <v>54.8</v>
      </c>
      <c r="K67" s="2">
        <v>49</v>
      </c>
      <c r="L67" s="2"/>
      <c r="M67" s="2">
        <v>1</v>
      </c>
      <c r="N67" s="2">
        <v>2</v>
      </c>
      <c r="O67" s="2">
        <v>4</v>
      </c>
      <c r="P67" s="2">
        <v>0</v>
      </c>
      <c r="Q67" s="2">
        <v>0</v>
      </c>
      <c r="R67" s="2">
        <v>25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2</v>
      </c>
      <c r="Y67">
        <f t="shared" ref="Y67:Y130" si="2">SUM(M67:Q67,S67:W67)</f>
        <v>8</v>
      </c>
      <c r="Z67">
        <f t="shared" ref="Z67:Z130" si="3">(R67+X67) / (SUM(M67:Q67) + (SUM(S67:W67)))</f>
        <v>3.375</v>
      </c>
    </row>
    <row r="68" spans="1:26" x14ac:dyDescent="0.25">
      <c r="A68" t="s">
        <v>96</v>
      </c>
      <c r="B68" s="7">
        <v>7</v>
      </c>
      <c r="C68" s="8" t="s">
        <v>24</v>
      </c>
      <c r="D68" s="8" t="s">
        <v>20</v>
      </c>
      <c r="E68" s="2">
        <v>13.4</v>
      </c>
      <c r="F68" s="2">
        <v>29.4</v>
      </c>
      <c r="G68" s="2"/>
      <c r="H68" s="2">
        <v>15</v>
      </c>
      <c r="I68" s="2"/>
      <c r="J68" s="2">
        <v>54.1</v>
      </c>
      <c r="K68" s="2">
        <v>43</v>
      </c>
      <c r="L68" s="2">
        <v>10325</v>
      </c>
      <c r="M68" s="2"/>
      <c r="N68" s="2"/>
      <c r="O68" s="2"/>
      <c r="P68" s="2"/>
      <c r="Q68" s="2"/>
      <c r="R68" s="2"/>
      <c r="S68" s="2">
        <v>1</v>
      </c>
      <c r="T68" s="2">
        <v>1</v>
      </c>
      <c r="U68" s="2">
        <v>0</v>
      </c>
      <c r="V68" s="2">
        <v>0</v>
      </c>
      <c r="W68" s="2">
        <v>0</v>
      </c>
      <c r="X68" s="2">
        <v>3</v>
      </c>
      <c r="Y68">
        <f t="shared" si="2"/>
        <v>2</v>
      </c>
      <c r="Z68">
        <f t="shared" si="3"/>
        <v>1.5</v>
      </c>
    </row>
    <row r="69" spans="1:26" x14ac:dyDescent="0.25">
      <c r="A69" t="s">
        <v>97</v>
      </c>
      <c r="B69" s="7">
        <v>8</v>
      </c>
      <c r="C69" s="8" t="s">
        <v>24</v>
      </c>
      <c r="D69" s="8" t="s">
        <v>20</v>
      </c>
      <c r="E69" s="2">
        <v>9.5</v>
      </c>
      <c r="F69" s="2">
        <v>19.899999999999999</v>
      </c>
      <c r="G69" s="2">
        <v>215</v>
      </c>
      <c r="H69" s="2">
        <v>260</v>
      </c>
      <c r="I69" s="2">
        <v>56.8</v>
      </c>
      <c r="J69" s="2">
        <v>70</v>
      </c>
      <c r="K69" s="2">
        <v>52</v>
      </c>
      <c r="L69" s="2">
        <v>2549</v>
      </c>
      <c r="M69" s="2">
        <v>2</v>
      </c>
      <c r="N69" s="2">
        <v>1</v>
      </c>
      <c r="O69" s="2">
        <v>3</v>
      </c>
      <c r="P69" s="2">
        <v>0</v>
      </c>
      <c r="Q69" s="2">
        <v>0</v>
      </c>
      <c r="R69" s="2">
        <v>13</v>
      </c>
      <c r="S69" s="2">
        <v>9</v>
      </c>
      <c r="T69" s="2">
        <v>0</v>
      </c>
      <c r="U69" s="2">
        <v>10</v>
      </c>
      <c r="V69" s="2">
        <v>0</v>
      </c>
      <c r="W69" s="2">
        <v>1</v>
      </c>
      <c r="X69" s="2">
        <v>69</v>
      </c>
      <c r="Y69">
        <f t="shared" si="2"/>
        <v>26</v>
      </c>
      <c r="Z69">
        <f t="shared" si="3"/>
        <v>3.1538461538461537</v>
      </c>
    </row>
    <row r="70" spans="1:26" x14ac:dyDescent="0.25">
      <c r="A70" t="s">
        <v>98</v>
      </c>
      <c r="B70" s="7">
        <v>9</v>
      </c>
      <c r="C70" s="8" t="s">
        <v>24</v>
      </c>
      <c r="D70" s="8" t="s">
        <v>20</v>
      </c>
      <c r="E70" s="2">
        <v>16.399999999999999</v>
      </c>
      <c r="F70" s="2">
        <v>25</v>
      </c>
      <c r="G70" s="2">
        <v>49</v>
      </c>
      <c r="H70" s="2">
        <v>280</v>
      </c>
      <c r="I70" s="2">
        <v>48</v>
      </c>
      <c r="J70" s="2">
        <v>54</v>
      </c>
      <c r="K70" s="2">
        <v>52</v>
      </c>
      <c r="L70" s="2">
        <v>4184</v>
      </c>
      <c r="M70" s="2">
        <v>3</v>
      </c>
      <c r="N70" s="2">
        <v>1</v>
      </c>
      <c r="O70" s="2">
        <v>1</v>
      </c>
      <c r="P70" s="2">
        <v>0</v>
      </c>
      <c r="Q70" s="2">
        <v>0</v>
      </c>
      <c r="R70" s="2">
        <v>40</v>
      </c>
      <c r="S70" s="2">
        <v>1</v>
      </c>
      <c r="T70" s="2">
        <v>0</v>
      </c>
      <c r="U70" s="2">
        <v>2</v>
      </c>
      <c r="V70" s="2">
        <v>0</v>
      </c>
      <c r="W70" s="2">
        <v>0</v>
      </c>
      <c r="X70" s="2">
        <v>12</v>
      </c>
      <c r="Y70">
        <f t="shared" si="2"/>
        <v>8</v>
      </c>
      <c r="Z70">
        <f t="shared" si="3"/>
        <v>6.5</v>
      </c>
    </row>
    <row r="71" spans="1:26" x14ac:dyDescent="0.25">
      <c r="A71" t="s">
        <v>99</v>
      </c>
      <c r="B71" s="7">
        <v>10</v>
      </c>
      <c r="C71" s="8" t="s">
        <v>24</v>
      </c>
      <c r="D71" s="8" t="s">
        <v>20</v>
      </c>
      <c r="E71" s="2">
        <v>12.3</v>
      </c>
      <c r="F71" s="2">
        <v>21</v>
      </c>
      <c r="G71" s="2"/>
      <c r="H71" s="2"/>
      <c r="I71" s="2"/>
      <c r="J71" s="2"/>
      <c r="K71" s="2">
        <v>60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>
        <f t="shared" si="2"/>
        <v>0</v>
      </c>
      <c r="Z71" t="e">
        <f t="shared" si="3"/>
        <v>#DIV/0!</v>
      </c>
    </row>
    <row r="72" spans="1:26" x14ac:dyDescent="0.25">
      <c r="A72" t="s">
        <v>100</v>
      </c>
      <c r="B72" s="7">
        <v>11</v>
      </c>
      <c r="C72" s="8" t="s">
        <v>24</v>
      </c>
      <c r="D72" s="8" t="s">
        <v>20</v>
      </c>
      <c r="E72" s="2">
        <v>12.4</v>
      </c>
      <c r="F72" s="2">
        <v>25.2</v>
      </c>
      <c r="G72" s="2">
        <v>24</v>
      </c>
      <c r="H72" s="2">
        <v>183</v>
      </c>
      <c r="I72" s="2">
        <v>43</v>
      </c>
      <c r="J72" s="2">
        <v>52</v>
      </c>
      <c r="K72" s="2">
        <v>59</v>
      </c>
      <c r="L72" s="2">
        <v>5973</v>
      </c>
      <c r="M72" s="2"/>
      <c r="N72" s="2"/>
      <c r="O72" s="2"/>
      <c r="P72" s="2"/>
      <c r="Q72" s="2"/>
      <c r="R72" s="2"/>
      <c r="S72" s="2">
        <v>8</v>
      </c>
      <c r="T72" s="2">
        <v>0</v>
      </c>
      <c r="U72" s="2">
        <v>7</v>
      </c>
      <c r="V72" s="2">
        <v>2</v>
      </c>
      <c r="W72" s="2">
        <v>0</v>
      </c>
      <c r="X72" s="2">
        <v>123</v>
      </c>
      <c r="Y72">
        <f t="shared" si="2"/>
        <v>17</v>
      </c>
      <c r="Z72">
        <f t="shared" si="3"/>
        <v>7.2352941176470589</v>
      </c>
    </row>
    <row r="73" spans="1:26" x14ac:dyDescent="0.25">
      <c r="A73" t="s">
        <v>101</v>
      </c>
      <c r="B73" s="7">
        <v>12</v>
      </c>
      <c r="C73" s="8" t="s">
        <v>24</v>
      </c>
      <c r="D73" s="8" t="s">
        <v>20</v>
      </c>
      <c r="E73" s="2">
        <v>8</v>
      </c>
      <c r="F73" s="2">
        <v>23.7</v>
      </c>
      <c r="G73" s="2">
        <v>260</v>
      </c>
      <c r="H73" s="2">
        <v>1083</v>
      </c>
      <c r="I73" s="2">
        <v>69</v>
      </c>
      <c r="J73" s="2">
        <v>75</v>
      </c>
      <c r="K73" s="2">
        <v>59</v>
      </c>
      <c r="L73" s="2"/>
      <c r="M73" s="2">
        <v>5</v>
      </c>
      <c r="N73" s="2">
        <v>0</v>
      </c>
      <c r="O73" s="2">
        <v>3</v>
      </c>
      <c r="P73" s="2">
        <v>0</v>
      </c>
      <c r="Q73" s="2">
        <v>0</v>
      </c>
      <c r="R73" s="2">
        <v>44</v>
      </c>
      <c r="S73" s="2">
        <v>36</v>
      </c>
      <c r="T73" s="2">
        <v>0</v>
      </c>
      <c r="U73" s="2">
        <v>3</v>
      </c>
      <c r="V73" s="2">
        <v>6</v>
      </c>
      <c r="W73" s="2">
        <v>1</v>
      </c>
      <c r="X73" s="2">
        <v>114</v>
      </c>
      <c r="Y73">
        <f t="shared" si="2"/>
        <v>54</v>
      </c>
      <c r="Z73">
        <f t="shared" si="3"/>
        <v>2.925925925925926</v>
      </c>
    </row>
    <row r="74" spans="1:26" x14ac:dyDescent="0.25">
      <c r="A74" t="s">
        <v>102</v>
      </c>
      <c r="B74" s="7">
        <v>13</v>
      </c>
      <c r="C74" s="8" t="s">
        <v>24</v>
      </c>
      <c r="D74" s="8" t="s">
        <v>20</v>
      </c>
      <c r="E74" s="2">
        <v>15.5</v>
      </c>
      <c r="F74" s="2">
        <v>29.2</v>
      </c>
      <c r="G74" s="2"/>
      <c r="H74" s="2">
        <v>396</v>
      </c>
      <c r="I74" s="2"/>
      <c r="J74" s="2">
        <v>55</v>
      </c>
      <c r="K74" s="2">
        <v>50</v>
      </c>
      <c r="L74" s="2">
        <v>348</v>
      </c>
      <c r="M74" s="2"/>
      <c r="N74" s="2"/>
      <c r="O74" s="2"/>
      <c r="P74" s="2"/>
      <c r="Q74" s="2"/>
      <c r="R74" s="2"/>
      <c r="S74" s="2">
        <v>5</v>
      </c>
      <c r="T74" s="2">
        <v>1</v>
      </c>
      <c r="U74" s="2">
        <v>2</v>
      </c>
      <c r="V74" s="2">
        <v>0</v>
      </c>
      <c r="W74" s="2">
        <v>0</v>
      </c>
      <c r="X74" s="2">
        <v>28</v>
      </c>
      <c r="Y74">
        <f t="shared" si="2"/>
        <v>8</v>
      </c>
      <c r="Z74">
        <f t="shared" si="3"/>
        <v>3.5</v>
      </c>
    </row>
    <row r="75" spans="1:26" x14ac:dyDescent="0.25">
      <c r="A75" t="s">
        <v>103</v>
      </c>
      <c r="B75" s="7">
        <v>14</v>
      </c>
      <c r="C75" s="8" t="s">
        <v>24</v>
      </c>
      <c r="D75" s="8" t="s">
        <v>20</v>
      </c>
      <c r="E75" s="2">
        <v>16.7</v>
      </c>
      <c r="F75" s="2">
        <v>24</v>
      </c>
      <c r="G75" s="2">
        <v>102</v>
      </c>
      <c r="H75" s="2">
        <v>298</v>
      </c>
      <c r="I75" s="2">
        <v>45</v>
      </c>
      <c r="J75" s="2">
        <v>54.8</v>
      </c>
      <c r="K75" s="2">
        <v>39</v>
      </c>
      <c r="L75" s="2">
        <v>5284</v>
      </c>
      <c r="M75" s="2">
        <v>1</v>
      </c>
      <c r="N75" s="2">
        <v>0</v>
      </c>
      <c r="O75" s="2">
        <v>3</v>
      </c>
      <c r="P75" s="2">
        <v>0</v>
      </c>
      <c r="Q75" s="2">
        <v>0</v>
      </c>
      <c r="R75" s="2">
        <v>4</v>
      </c>
      <c r="S75" s="2">
        <v>2</v>
      </c>
      <c r="T75" s="2">
        <v>0</v>
      </c>
      <c r="U75" s="2">
        <v>3</v>
      </c>
      <c r="V75" s="2">
        <v>2</v>
      </c>
      <c r="W75" s="2">
        <v>0</v>
      </c>
      <c r="X75" s="2">
        <v>49</v>
      </c>
      <c r="Y75">
        <f t="shared" si="2"/>
        <v>11</v>
      </c>
      <c r="Z75">
        <f t="shared" si="3"/>
        <v>4.8181818181818183</v>
      </c>
    </row>
    <row r="76" spans="1:26" x14ac:dyDescent="0.25">
      <c r="A76" t="s">
        <v>104</v>
      </c>
      <c r="B76" s="7">
        <v>15</v>
      </c>
      <c r="C76" s="8" t="s">
        <v>24</v>
      </c>
      <c r="D76" s="8" t="s">
        <v>20</v>
      </c>
      <c r="E76" s="2">
        <v>14.2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>
        <f t="shared" si="2"/>
        <v>0</v>
      </c>
      <c r="Z76" t="e">
        <f t="shared" si="3"/>
        <v>#DIV/0!</v>
      </c>
    </row>
    <row r="77" spans="1:26" x14ac:dyDescent="0.25">
      <c r="A77" t="s">
        <v>105</v>
      </c>
      <c r="B77" s="7">
        <v>16</v>
      </c>
      <c r="C77" s="8" t="s">
        <v>24</v>
      </c>
      <c r="D77" s="8" t="s">
        <v>20</v>
      </c>
      <c r="E77" s="2">
        <v>19.7</v>
      </c>
      <c r="F77" s="2">
        <v>25.2</v>
      </c>
      <c r="G77" s="2"/>
      <c r="H77" s="2">
        <v>90</v>
      </c>
      <c r="I77" s="2"/>
      <c r="J77" s="2">
        <v>73.599999999999994</v>
      </c>
      <c r="K77" s="2">
        <v>40</v>
      </c>
      <c r="L77" s="2"/>
      <c r="M77" s="2"/>
      <c r="N77" s="2"/>
      <c r="O77" s="2"/>
      <c r="P77" s="2"/>
      <c r="Q77" s="2"/>
      <c r="R77" s="2"/>
      <c r="S77" s="2">
        <v>3</v>
      </c>
      <c r="T77" s="2">
        <v>0</v>
      </c>
      <c r="U77" s="2">
        <v>0</v>
      </c>
      <c r="V77" s="2">
        <v>0</v>
      </c>
      <c r="W77" s="2">
        <v>0</v>
      </c>
      <c r="X77" s="2">
        <v>15</v>
      </c>
      <c r="Y77">
        <f t="shared" si="2"/>
        <v>3</v>
      </c>
      <c r="Z77">
        <f t="shared" si="3"/>
        <v>5</v>
      </c>
    </row>
    <row r="78" spans="1:26" x14ac:dyDescent="0.25">
      <c r="A78" t="s">
        <v>106</v>
      </c>
      <c r="B78" s="7">
        <v>17</v>
      </c>
      <c r="C78" s="8" t="s">
        <v>24</v>
      </c>
      <c r="D78" s="8" t="s">
        <v>20</v>
      </c>
      <c r="E78" s="2">
        <v>19.5</v>
      </c>
      <c r="F78" s="2">
        <v>29.5</v>
      </c>
      <c r="G78" s="2">
        <v>30</v>
      </c>
      <c r="H78" s="2">
        <v>210</v>
      </c>
      <c r="I78" s="2">
        <v>62.3</v>
      </c>
      <c r="J78" s="2">
        <v>69</v>
      </c>
      <c r="K78" s="2">
        <v>38</v>
      </c>
      <c r="L78" s="2">
        <v>196</v>
      </c>
      <c r="M78" s="2">
        <v>1</v>
      </c>
      <c r="N78" s="2">
        <v>0</v>
      </c>
      <c r="O78" s="2">
        <v>3</v>
      </c>
      <c r="P78" s="2">
        <v>0</v>
      </c>
      <c r="Q78" s="2">
        <v>1</v>
      </c>
      <c r="R78" s="2">
        <v>4</v>
      </c>
      <c r="S78" s="2">
        <v>1</v>
      </c>
      <c r="T78" s="2">
        <v>1</v>
      </c>
      <c r="U78" s="2">
        <v>1</v>
      </c>
      <c r="V78" s="2">
        <v>1</v>
      </c>
      <c r="W78" s="2">
        <v>0</v>
      </c>
      <c r="X78" s="2">
        <v>12</v>
      </c>
      <c r="Y78">
        <f t="shared" si="2"/>
        <v>9</v>
      </c>
      <c r="Z78">
        <f t="shared" si="3"/>
        <v>1.7777777777777777</v>
      </c>
    </row>
    <row r="79" spans="1:26" x14ac:dyDescent="0.25">
      <c r="A79" t="s">
        <v>107</v>
      </c>
      <c r="B79" s="7">
        <v>18</v>
      </c>
      <c r="C79" s="8" t="s">
        <v>24</v>
      </c>
      <c r="D79" s="8" t="s">
        <v>20</v>
      </c>
      <c r="E79" s="2">
        <v>14.7</v>
      </c>
      <c r="F79" s="2">
        <v>20.3</v>
      </c>
      <c r="G79" s="2"/>
      <c r="H79" s="2">
        <v>39</v>
      </c>
      <c r="I79" s="2"/>
      <c r="J79" s="2">
        <v>54</v>
      </c>
      <c r="K79" s="2">
        <v>42</v>
      </c>
      <c r="L79" s="2">
        <v>619</v>
      </c>
      <c r="M79" s="2"/>
      <c r="N79" s="2"/>
      <c r="O79" s="2"/>
      <c r="P79" s="2"/>
      <c r="Q79" s="2"/>
      <c r="R79" s="2"/>
      <c r="S79" s="2">
        <v>3</v>
      </c>
      <c r="T79" s="2">
        <v>2</v>
      </c>
      <c r="U79" s="2">
        <v>3</v>
      </c>
      <c r="V79" s="2">
        <v>0</v>
      </c>
      <c r="W79" s="2">
        <v>0</v>
      </c>
      <c r="X79" s="2">
        <v>38</v>
      </c>
      <c r="Y79">
        <f t="shared" si="2"/>
        <v>8</v>
      </c>
      <c r="Z79">
        <f t="shared" si="3"/>
        <v>4.75</v>
      </c>
    </row>
    <row r="80" spans="1:26" x14ac:dyDescent="0.25">
      <c r="A80" t="s">
        <v>108</v>
      </c>
      <c r="B80" s="7">
        <v>19</v>
      </c>
      <c r="C80" s="8" t="s">
        <v>24</v>
      </c>
      <c r="D80" s="8" t="s">
        <v>20</v>
      </c>
      <c r="E80" s="2">
        <v>16.8</v>
      </c>
      <c r="F80" s="2">
        <v>28.4</v>
      </c>
      <c r="G80" s="2">
        <v>208</v>
      </c>
      <c r="H80" s="2">
        <v>540</v>
      </c>
      <c r="I80" s="2">
        <v>64.7</v>
      </c>
      <c r="J80" s="2">
        <v>76</v>
      </c>
      <c r="K80" s="2">
        <v>55</v>
      </c>
      <c r="L80" s="2"/>
      <c r="M80" s="2">
        <v>3</v>
      </c>
      <c r="N80" s="2">
        <v>2</v>
      </c>
      <c r="O80" s="2">
        <v>5</v>
      </c>
      <c r="P80" s="2">
        <v>1</v>
      </c>
      <c r="Q80" s="2">
        <v>1</v>
      </c>
      <c r="R80" s="2">
        <v>6</v>
      </c>
      <c r="S80" s="2">
        <v>11</v>
      </c>
      <c r="T80" s="2">
        <v>0</v>
      </c>
      <c r="U80" s="2">
        <v>2</v>
      </c>
      <c r="V80" s="2">
        <v>2</v>
      </c>
      <c r="W80" s="2">
        <v>2</v>
      </c>
      <c r="X80" s="2">
        <v>107</v>
      </c>
      <c r="Y80">
        <f t="shared" si="2"/>
        <v>29</v>
      </c>
      <c r="Z80">
        <f t="shared" si="3"/>
        <v>3.896551724137931</v>
      </c>
    </row>
    <row r="81" spans="1:26" x14ac:dyDescent="0.25">
      <c r="A81" t="s">
        <v>109</v>
      </c>
      <c r="B81" s="7">
        <v>20</v>
      </c>
      <c r="C81" s="8" t="s">
        <v>24</v>
      </c>
      <c r="D81" s="8" t="s">
        <v>20</v>
      </c>
      <c r="E81" s="2">
        <v>18</v>
      </c>
      <c r="F81" s="2">
        <v>25.6</v>
      </c>
      <c r="G81" s="2">
        <v>39</v>
      </c>
      <c r="H81" s="2">
        <v>230</v>
      </c>
      <c r="I81" s="2">
        <v>58.3</v>
      </c>
      <c r="J81" s="2">
        <v>72</v>
      </c>
      <c r="K81" s="2">
        <v>40</v>
      </c>
      <c r="L81" s="2">
        <v>517</v>
      </c>
      <c r="M81" s="2">
        <v>2</v>
      </c>
      <c r="N81" s="2">
        <v>1</v>
      </c>
      <c r="O81" s="2">
        <v>3</v>
      </c>
      <c r="P81" s="2">
        <v>0</v>
      </c>
      <c r="Q81" s="2">
        <v>0</v>
      </c>
      <c r="R81" s="2">
        <v>4</v>
      </c>
      <c r="S81" s="2">
        <v>2</v>
      </c>
      <c r="T81" s="2">
        <v>2</v>
      </c>
      <c r="U81" s="2">
        <v>0</v>
      </c>
      <c r="V81" s="2">
        <v>0</v>
      </c>
      <c r="W81" s="2">
        <v>0</v>
      </c>
      <c r="X81" s="2">
        <v>9</v>
      </c>
      <c r="Y81">
        <f t="shared" si="2"/>
        <v>10</v>
      </c>
      <c r="Z81">
        <f t="shared" si="3"/>
        <v>1.3</v>
      </c>
    </row>
    <row r="82" spans="1:26" x14ac:dyDescent="0.25">
      <c r="A82" t="s">
        <v>110</v>
      </c>
      <c r="B82" s="7">
        <v>1</v>
      </c>
      <c r="C82" s="8" t="s">
        <v>25</v>
      </c>
      <c r="D82" s="8" t="s">
        <v>20</v>
      </c>
      <c r="E82" s="2">
        <v>10</v>
      </c>
      <c r="F82" s="2">
        <v>17.8</v>
      </c>
      <c r="G82" s="2">
        <v>22</v>
      </c>
      <c r="H82" s="2">
        <v>58</v>
      </c>
      <c r="I82" s="2">
        <v>32</v>
      </c>
      <c r="J82" s="2">
        <v>39</v>
      </c>
      <c r="K82" s="2">
        <v>38</v>
      </c>
      <c r="L82" s="2">
        <v>1103</v>
      </c>
      <c r="M82" s="2">
        <v>0</v>
      </c>
      <c r="N82" s="2">
        <v>1</v>
      </c>
      <c r="O82" s="2">
        <v>0</v>
      </c>
      <c r="P82" s="2">
        <v>0</v>
      </c>
      <c r="Q82" s="2">
        <v>0</v>
      </c>
      <c r="R82" s="2">
        <v>3</v>
      </c>
      <c r="S82" s="2">
        <v>3</v>
      </c>
      <c r="T82" s="2">
        <v>0</v>
      </c>
      <c r="U82" s="2">
        <v>0</v>
      </c>
      <c r="V82" s="2">
        <v>2</v>
      </c>
      <c r="W82" s="2">
        <v>0</v>
      </c>
      <c r="X82" s="2">
        <v>41</v>
      </c>
      <c r="Y82">
        <f t="shared" si="2"/>
        <v>6</v>
      </c>
      <c r="Z82">
        <f t="shared" si="3"/>
        <v>7.333333333333333</v>
      </c>
    </row>
    <row r="83" spans="1:26" x14ac:dyDescent="0.25">
      <c r="A83" t="s">
        <v>111</v>
      </c>
      <c r="B83" s="7">
        <v>2</v>
      </c>
      <c r="C83" s="8" t="s">
        <v>25</v>
      </c>
      <c r="D83" s="8" t="s">
        <v>20</v>
      </c>
      <c r="E83" s="2">
        <v>17</v>
      </c>
      <c r="F83" s="2">
        <v>19.7</v>
      </c>
      <c r="G83" s="2">
        <v>21</v>
      </c>
      <c r="H83" s="2">
        <v>116</v>
      </c>
      <c r="I83" s="2">
        <v>30</v>
      </c>
      <c r="J83" s="2">
        <v>31</v>
      </c>
      <c r="K83" s="2">
        <v>37</v>
      </c>
      <c r="L83" s="2"/>
      <c r="M83" s="2">
        <v>0</v>
      </c>
      <c r="N83" s="2">
        <v>0</v>
      </c>
      <c r="O83" s="2">
        <v>4</v>
      </c>
      <c r="P83" s="2">
        <v>0</v>
      </c>
      <c r="Q83" s="2">
        <v>0</v>
      </c>
      <c r="R83" s="2">
        <v>16</v>
      </c>
      <c r="S83" s="2">
        <v>3</v>
      </c>
      <c r="T83" s="2">
        <v>2</v>
      </c>
      <c r="U83" s="2">
        <v>5</v>
      </c>
      <c r="V83" s="2">
        <v>0</v>
      </c>
      <c r="W83" s="2">
        <v>0</v>
      </c>
      <c r="X83" s="2">
        <v>39</v>
      </c>
      <c r="Y83">
        <f t="shared" si="2"/>
        <v>14</v>
      </c>
      <c r="Z83">
        <f t="shared" si="3"/>
        <v>3.9285714285714284</v>
      </c>
    </row>
    <row r="84" spans="1:26" x14ac:dyDescent="0.25">
      <c r="A84" t="s">
        <v>112</v>
      </c>
      <c r="B84" s="7">
        <v>3</v>
      </c>
      <c r="C84" s="8" t="s">
        <v>25</v>
      </c>
      <c r="D84" s="8" t="s">
        <v>20</v>
      </c>
      <c r="E84" s="2">
        <v>13</v>
      </c>
      <c r="F84" s="2">
        <v>14.5</v>
      </c>
      <c r="G84" s="2">
        <v>9</v>
      </c>
      <c r="H84" s="2">
        <v>9</v>
      </c>
      <c r="I84" s="2">
        <v>23.7</v>
      </c>
      <c r="J84" s="2">
        <v>25.5</v>
      </c>
      <c r="K84" s="2">
        <v>37</v>
      </c>
      <c r="L84" s="2">
        <v>1152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2</v>
      </c>
      <c r="S84" s="2">
        <v>1</v>
      </c>
      <c r="T84" s="2">
        <v>1</v>
      </c>
      <c r="U84" s="2">
        <v>0</v>
      </c>
      <c r="V84" s="2">
        <v>0</v>
      </c>
      <c r="W84" s="2">
        <v>0</v>
      </c>
      <c r="X84" s="2">
        <v>2</v>
      </c>
      <c r="Y84">
        <f t="shared" si="2"/>
        <v>3</v>
      </c>
      <c r="Z84">
        <f t="shared" si="3"/>
        <v>1.3333333333333333</v>
      </c>
    </row>
    <row r="85" spans="1:26" x14ac:dyDescent="0.25">
      <c r="A85" t="s">
        <v>113</v>
      </c>
      <c r="B85" s="7">
        <v>4</v>
      </c>
      <c r="C85" s="8" t="s">
        <v>25</v>
      </c>
      <c r="D85" s="8" t="s">
        <v>20</v>
      </c>
      <c r="E85" s="2">
        <v>13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>
        <f t="shared" si="2"/>
        <v>0</v>
      </c>
      <c r="Z85" t="e">
        <f t="shared" si="3"/>
        <v>#DIV/0!</v>
      </c>
    </row>
    <row r="86" spans="1:26" x14ac:dyDescent="0.25">
      <c r="A86" t="s">
        <v>114</v>
      </c>
      <c r="B86" s="7">
        <v>5</v>
      </c>
      <c r="C86" s="8" t="s">
        <v>25</v>
      </c>
      <c r="D86" s="8" t="s">
        <v>20</v>
      </c>
      <c r="E86" s="2">
        <v>13</v>
      </c>
      <c r="F86" s="2">
        <v>19.5</v>
      </c>
      <c r="G86" s="2">
        <v>81</v>
      </c>
      <c r="H86" s="2"/>
      <c r="I86" s="2">
        <v>50</v>
      </c>
      <c r="J86" s="2"/>
      <c r="K86" s="2">
        <v>37</v>
      </c>
      <c r="L86" s="2">
        <v>7277</v>
      </c>
      <c r="M86" s="2">
        <v>2</v>
      </c>
      <c r="N86" s="2">
        <v>1</v>
      </c>
      <c r="O86" s="2">
        <v>7</v>
      </c>
      <c r="P86" s="2">
        <v>1</v>
      </c>
      <c r="Q86" s="2">
        <v>1</v>
      </c>
      <c r="R86" s="2">
        <v>78</v>
      </c>
      <c r="S86" s="2"/>
      <c r="T86" s="2"/>
      <c r="U86" s="2"/>
      <c r="V86" s="2"/>
      <c r="W86" s="2"/>
      <c r="X86" s="2"/>
      <c r="Y86">
        <f t="shared" si="2"/>
        <v>12</v>
      </c>
      <c r="Z86">
        <f t="shared" si="3"/>
        <v>6.5</v>
      </c>
    </row>
    <row r="87" spans="1:26" x14ac:dyDescent="0.25">
      <c r="A87" t="s">
        <v>115</v>
      </c>
      <c r="B87" s="7">
        <v>6</v>
      </c>
      <c r="C87" s="8" t="s">
        <v>25</v>
      </c>
      <c r="D87" s="8" t="s">
        <v>20</v>
      </c>
      <c r="E87" s="2">
        <v>6.8</v>
      </c>
      <c r="F87" s="2">
        <v>18.399999999999999</v>
      </c>
      <c r="G87" s="2">
        <v>4</v>
      </c>
      <c r="H87" s="2">
        <v>110</v>
      </c>
      <c r="I87" s="2">
        <v>30</v>
      </c>
      <c r="J87" s="2">
        <v>43</v>
      </c>
      <c r="K87" s="2"/>
      <c r="L87" s="2">
        <v>3491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2</v>
      </c>
      <c r="S87" s="2">
        <v>2</v>
      </c>
      <c r="T87" s="2">
        <v>2</v>
      </c>
      <c r="U87" s="2">
        <v>3</v>
      </c>
      <c r="V87" s="2">
        <v>2</v>
      </c>
      <c r="W87" s="2">
        <v>0</v>
      </c>
      <c r="X87" s="2">
        <v>73</v>
      </c>
      <c r="Y87">
        <f t="shared" si="2"/>
        <v>10</v>
      </c>
      <c r="Z87">
        <f t="shared" si="3"/>
        <v>7.5</v>
      </c>
    </row>
    <row r="88" spans="1:26" x14ac:dyDescent="0.25">
      <c r="A88" t="s">
        <v>116</v>
      </c>
      <c r="B88" s="7">
        <v>7</v>
      </c>
      <c r="C88" s="8" t="s">
        <v>25</v>
      </c>
      <c r="D88" s="8" t="s">
        <v>20</v>
      </c>
      <c r="E88" s="2">
        <v>13.5</v>
      </c>
      <c r="F88" s="2">
        <v>21.5</v>
      </c>
      <c r="G88" s="2">
        <v>29</v>
      </c>
      <c r="H88" s="2"/>
      <c r="I88" s="2">
        <v>65.400000000000006</v>
      </c>
      <c r="J88" s="2"/>
      <c r="K88" s="2">
        <v>37</v>
      </c>
      <c r="L88" s="2">
        <v>6604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2</v>
      </c>
      <c r="S88" s="2"/>
      <c r="T88" s="2"/>
      <c r="U88" s="2"/>
      <c r="V88" s="2"/>
      <c r="W88" s="2"/>
      <c r="X88" s="2"/>
      <c r="Y88">
        <f t="shared" si="2"/>
        <v>1</v>
      </c>
      <c r="Z88">
        <f t="shared" si="3"/>
        <v>2</v>
      </c>
    </row>
    <row r="89" spans="1:26" x14ac:dyDescent="0.25">
      <c r="A89" t="s">
        <v>117</v>
      </c>
      <c r="B89" s="7">
        <v>8</v>
      </c>
      <c r="C89" s="8" t="s">
        <v>25</v>
      </c>
      <c r="D89" s="8" t="s">
        <v>20</v>
      </c>
      <c r="E89" s="2">
        <v>9</v>
      </c>
      <c r="F89" s="2">
        <v>25.5</v>
      </c>
      <c r="G89" s="2">
        <v>20</v>
      </c>
      <c r="H89" s="2">
        <v>20</v>
      </c>
      <c r="I89" s="2">
        <v>51.3</v>
      </c>
      <c r="J89" s="2">
        <v>53.4</v>
      </c>
      <c r="K89" s="2">
        <v>46</v>
      </c>
      <c r="L89" s="2"/>
      <c r="M89" s="2"/>
      <c r="N89" s="2"/>
      <c r="O89" s="2"/>
      <c r="P89" s="2"/>
      <c r="Q89" s="2"/>
      <c r="R89" s="2"/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2</v>
      </c>
      <c r="Y89">
        <f t="shared" si="2"/>
        <v>1</v>
      </c>
      <c r="Z89">
        <f t="shared" si="3"/>
        <v>2</v>
      </c>
    </row>
    <row r="90" spans="1:26" x14ac:dyDescent="0.25">
      <c r="A90" t="s">
        <v>118</v>
      </c>
      <c r="B90" s="7">
        <v>9</v>
      </c>
      <c r="C90" s="8" t="s">
        <v>25</v>
      </c>
      <c r="D90" s="8" t="s">
        <v>20</v>
      </c>
      <c r="E90" s="2">
        <v>14.6</v>
      </c>
      <c r="F90" s="2">
        <v>22</v>
      </c>
      <c r="G90" s="2">
        <v>151</v>
      </c>
      <c r="H90" s="2"/>
      <c r="I90" s="2">
        <v>76</v>
      </c>
      <c r="J90" s="2"/>
      <c r="K90" s="2">
        <v>38</v>
      </c>
      <c r="L90" s="2">
        <v>17361</v>
      </c>
      <c r="M90" s="2">
        <v>0</v>
      </c>
      <c r="N90" s="2">
        <v>2</v>
      </c>
      <c r="O90" s="2">
        <v>0</v>
      </c>
      <c r="P90" s="2">
        <v>0</v>
      </c>
      <c r="Q90" s="2">
        <v>0</v>
      </c>
      <c r="R90" s="2">
        <v>2</v>
      </c>
      <c r="S90" s="2"/>
      <c r="T90" s="2"/>
      <c r="U90" s="2"/>
      <c r="V90" s="2"/>
      <c r="W90" s="2"/>
      <c r="X90" s="2"/>
      <c r="Y90">
        <f t="shared" si="2"/>
        <v>2</v>
      </c>
      <c r="Z90">
        <f t="shared" si="3"/>
        <v>1</v>
      </c>
    </row>
    <row r="91" spans="1:26" x14ac:dyDescent="0.25">
      <c r="A91" t="s">
        <v>119</v>
      </c>
      <c r="B91" s="7">
        <v>10</v>
      </c>
      <c r="C91" s="8" t="s">
        <v>25</v>
      </c>
      <c r="D91" s="8" t="s">
        <v>20</v>
      </c>
      <c r="E91" s="2">
        <v>14.5</v>
      </c>
      <c r="F91" s="2">
        <v>15.8</v>
      </c>
      <c r="G91" s="2">
        <v>22</v>
      </c>
      <c r="H91" s="2">
        <v>15</v>
      </c>
      <c r="I91" s="2">
        <v>32.5</v>
      </c>
      <c r="J91" s="2">
        <v>40</v>
      </c>
      <c r="K91" s="2">
        <v>39</v>
      </c>
      <c r="L91" s="2">
        <v>629</v>
      </c>
      <c r="M91" s="2">
        <v>1</v>
      </c>
      <c r="N91" s="2">
        <v>0</v>
      </c>
      <c r="O91" s="2">
        <v>1</v>
      </c>
      <c r="P91" s="2">
        <v>0</v>
      </c>
      <c r="Q91" s="2">
        <v>0</v>
      </c>
      <c r="R91" s="2">
        <v>3</v>
      </c>
      <c r="S91" s="2">
        <v>0</v>
      </c>
      <c r="T91" s="2">
        <v>1</v>
      </c>
      <c r="U91" s="2">
        <v>0</v>
      </c>
      <c r="V91" s="2">
        <v>0</v>
      </c>
      <c r="W91" s="2">
        <v>0</v>
      </c>
      <c r="X91" s="2" t="e">
        <v>#VALUE!</v>
      </c>
      <c r="Y91">
        <f t="shared" si="2"/>
        <v>3</v>
      </c>
      <c r="Z91" t="e">
        <f t="shared" si="3"/>
        <v>#VALUE!</v>
      </c>
    </row>
    <row r="92" spans="1:26" x14ac:dyDescent="0.25">
      <c r="A92" t="s">
        <v>120</v>
      </c>
      <c r="B92" s="7">
        <v>11</v>
      </c>
      <c r="C92" s="8" t="s">
        <v>25</v>
      </c>
      <c r="D92" s="8" t="s">
        <v>20</v>
      </c>
      <c r="E92" s="2">
        <v>17.5</v>
      </c>
      <c r="F92" s="2">
        <v>26.4</v>
      </c>
      <c r="G92" s="2">
        <v>6</v>
      </c>
      <c r="H92" s="2">
        <v>18</v>
      </c>
      <c r="I92" s="2">
        <v>36.5</v>
      </c>
      <c r="J92" s="2">
        <v>41</v>
      </c>
      <c r="K92" s="2">
        <v>43</v>
      </c>
      <c r="L92" s="2">
        <v>2305</v>
      </c>
      <c r="M92" s="2"/>
      <c r="N92" s="2"/>
      <c r="O92" s="2"/>
      <c r="P92" s="2"/>
      <c r="Q92" s="2"/>
      <c r="R92" s="2"/>
      <c r="S92" s="2">
        <v>0</v>
      </c>
      <c r="T92" s="2">
        <v>0</v>
      </c>
      <c r="U92" s="2">
        <v>2</v>
      </c>
      <c r="V92" s="2">
        <v>0</v>
      </c>
      <c r="W92" s="2">
        <v>0</v>
      </c>
      <c r="X92" s="2">
        <v>4</v>
      </c>
      <c r="Y92">
        <f t="shared" si="2"/>
        <v>2</v>
      </c>
      <c r="Z92">
        <f t="shared" si="3"/>
        <v>2</v>
      </c>
    </row>
    <row r="93" spans="1:26" x14ac:dyDescent="0.25">
      <c r="A93" t="s">
        <v>121</v>
      </c>
      <c r="B93" s="7">
        <v>12</v>
      </c>
      <c r="C93" s="8" t="s">
        <v>25</v>
      </c>
      <c r="D93" s="8" t="s">
        <v>20</v>
      </c>
      <c r="E93" s="2">
        <v>10.4</v>
      </c>
      <c r="F93" s="2">
        <v>21.5</v>
      </c>
      <c r="G93" s="2">
        <v>24</v>
      </c>
      <c r="H93" s="2">
        <v>39</v>
      </c>
      <c r="I93" s="2">
        <v>41</v>
      </c>
      <c r="J93" s="2">
        <v>49</v>
      </c>
      <c r="K93" s="2">
        <v>49</v>
      </c>
      <c r="L93" s="2">
        <v>7889</v>
      </c>
      <c r="M93" s="2">
        <v>0</v>
      </c>
      <c r="N93" s="2">
        <v>1</v>
      </c>
      <c r="O93" s="2">
        <v>1</v>
      </c>
      <c r="P93" s="2">
        <v>1</v>
      </c>
      <c r="Q93" s="2">
        <v>0</v>
      </c>
      <c r="R93" s="2">
        <v>5</v>
      </c>
      <c r="S93" s="2">
        <v>0</v>
      </c>
      <c r="T93" s="2">
        <v>0</v>
      </c>
      <c r="U93" s="2">
        <v>1</v>
      </c>
      <c r="V93" s="2">
        <v>0</v>
      </c>
      <c r="W93" s="2">
        <v>0</v>
      </c>
      <c r="X93" s="2">
        <v>32</v>
      </c>
      <c r="Y93">
        <f t="shared" si="2"/>
        <v>4</v>
      </c>
      <c r="Z93">
        <f t="shared" si="3"/>
        <v>9.25</v>
      </c>
    </row>
    <row r="94" spans="1:26" x14ac:dyDescent="0.25">
      <c r="A94" t="s">
        <v>122</v>
      </c>
      <c r="B94" s="7">
        <v>13</v>
      </c>
      <c r="C94" s="8" t="s">
        <v>25</v>
      </c>
      <c r="D94" s="8" t="s">
        <v>20</v>
      </c>
      <c r="E94" s="2">
        <v>15.8</v>
      </c>
      <c r="F94" s="2">
        <v>20.100000000000001</v>
      </c>
      <c r="G94" s="2">
        <v>6</v>
      </c>
      <c r="H94" s="2">
        <v>125</v>
      </c>
      <c r="I94" s="2">
        <v>35</v>
      </c>
      <c r="J94" s="2">
        <v>54</v>
      </c>
      <c r="K94" s="2">
        <v>56</v>
      </c>
      <c r="L94" s="2">
        <v>234</v>
      </c>
      <c r="M94" s="2"/>
      <c r="N94" s="2"/>
      <c r="O94" s="2"/>
      <c r="P94" s="2"/>
      <c r="Q94" s="2"/>
      <c r="R94" s="2"/>
      <c r="S94" s="2">
        <v>5</v>
      </c>
      <c r="T94" s="2">
        <v>0</v>
      </c>
      <c r="U94" s="2">
        <v>1</v>
      </c>
      <c r="V94" s="2">
        <v>0</v>
      </c>
      <c r="W94" s="2">
        <v>1</v>
      </c>
      <c r="X94" s="2">
        <v>27</v>
      </c>
      <c r="Y94">
        <f t="shared" si="2"/>
        <v>7</v>
      </c>
      <c r="Z94">
        <f t="shared" si="3"/>
        <v>3.8571428571428572</v>
      </c>
    </row>
    <row r="95" spans="1:26" x14ac:dyDescent="0.25">
      <c r="A95" t="s">
        <v>123</v>
      </c>
      <c r="B95" s="7">
        <v>14</v>
      </c>
      <c r="C95" s="8" t="s">
        <v>25</v>
      </c>
      <c r="D95" s="8" t="s">
        <v>20</v>
      </c>
      <c r="E95" s="2">
        <v>18.399999999999999</v>
      </c>
      <c r="F95" s="2">
        <v>31.7</v>
      </c>
      <c r="G95" s="2">
        <v>524</v>
      </c>
      <c r="H95" s="2">
        <v>480</v>
      </c>
      <c r="I95" s="2">
        <v>82</v>
      </c>
      <c r="J95" s="2">
        <v>83</v>
      </c>
      <c r="K95" s="2">
        <v>60</v>
      </c>
      <c r="L95" s="2">
        <v>20264</v>
      </c>
      <c r="M95" s="2">
        <v>6</v>
      </c>
      <c r="N95" s="2">
        <v>0</v>
      </c>
      <c r="O95" s="2">
        <v>5</v>
      </c>
      <c r="P95" s="2">
        <v>0</v>
      </c>
      <c r="Q95" s="2">
        <v>0</v>
      </c>
      <c r="R95" s="2">
        <v>103</v>
      </c>
      <c r="S95" s="2">
        <v>4</v>
      </c>
      <c r="T95" s="2">
        <v>0</v>
      </c>
      <c r="U95" s="2">
        <v>10</v>
      </c>
      <c r="V95" s="2">
        <v>0</v>
      </c>
      <c r="W95" s="2">
        <v>0</v>
      </c>
      <c r="X95" s="2">
        <v>113</v>
      </c>
      <c r="Y95">
        <f t="shared" si="2"/>
        <v>25</v>
      </c>
      <c r="Z95">
        <f t="shared" si="3"/>
        <v>8.64</v>
      </c>
    </row>
    <row r="96" spans="1:26" x14ac:dyDescent="0.25">
      <c r="A96" t="s">
        <v>124</v>
      </c>
      <c r="B96" s="7">
        <v>15</v>
      </c>
      <c r="C96" s="8" t="s">
        <v>25</v>
      </c>
      <c r="D96" s="8" t="s">
        <v>20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>
        <v>1</v>
      </c>
      <c r="T96" s="2">
        <v>2</v>
      </c>
      <c r="U96" s="2">
        <v>16</v>
      </c>
      <c r="V96" s="2">
        <v>0</v>
      </c>
      <c r="W96" s="2">
        <v>0</v>
      </c>
      <c r="X96" s="2">
        <v>89</v>
      </c>
      <c r="Y96">
        <f t="shared" si="2"/>
        <v>19</v>
      </c>
      <c r="Z96">
        <f t="shared" si="3"/>
        <v>4.6842105263157894</v>
      </c>
    </row>
    <row r="97" spans="1:26" x14ac:dyDescent="0.25">
      <c r="A97" t="s">
        <v>125</v>
      </c>
      <c r="B97" s="7">
        <v>16</v>
      </c>
      <c r="C97" s="8" t="s">
        <v>25</v>
      </c>
      <c r="D97" s="8" t="s">
        <v>20</v>
      </c>
      <c r="E97" s="2">
        <v>15.3</v>
      </c>
      <c r="F97" s="2">
        <v>21.3</v>
      </c>
      <c r="G97" s="2">
        <v>59</v>
      </c>
      <c r="H97" s="2"/>
      <c r="I97" s="2">
        <v>71.5</v>
      </c>
      <c r="J97" s="2"/>
      <c r="K97" s="2">
        <v>37</v>
      </c>
      <c r="L97" s="2">
        <v>1394</v>
      </c>
      <c r="M97" s="2">
        <v>1</v>
      </c>
      <c r="N97" s="2">
        <v>1</v>
      </c>
      <c r="O97" s="2">
        <v>0</v>
      </c>
      <c r="P97" s="2">
        <v>0</v>
      </c>
      <c r="Q97" s="2">
        <v>0</v>
      </c>
      <c r="R97" s="2">
        <v>2</v>
      </c>
      <c r="S97" s="2"/>
      <c r="T97" s="2"/>
      <c r="U97" s="2"/>
      <c r="V97" s="2"/>
      <c r="W97" s="2"/>
      <c r="X97" s="2"/>
      <c r="Y97">
        <f t="shared" si="2"/>
        <v>2</v>
      </c>
      <c r="Z97">
        <f t="shared" si="3"/>
        <v>1</v>
      </c>
    </row>
    <row r="98" spans="1:26" x14ac:dyDescent="0.25">
      <c r="A98" t="s">
        <v>126</v>
      </c>
      <c r="B98" s="7">
        <v>17</v>
      </c>
      <c r="C98" s="8" t="s">
        <v>25</v>
      </c>
      <c r="D98" s="8" t="s">
        <v>20</v>
      </c>
      <c r="E98" s="2">
        <v>19</v>
      </c>
      <c r="F98" s="2">
        <v>27</v>
      </c>
      <c r="G98" s="2">
        <v>35</v>
      </c>
      <c r="H98" s="2"/>
      <c r="I98" s="2">
        <v>62</v>
      </c>
      <c r="J98" s="2"/>
      <c r="K98" s="2">
        <v>40</v>
      </c>
      <c r="L98" s="2">
        <v>15261</v>
      </c>
      <c r="M98" s="2">
        <v>0</v>
      </c>
      <c r="N98" s="2">
        <v>2</v>
      </c>
      <c r="O98" s="2">
        <v>0</v>
      </c>
      <c r="P98" s="2">
        <v>0</v>
      </c>
      <c r="Q98" s="2">
        <v>0</v>
      </c>
      <c r="R98" s="2">
        <v>4</v>
      </c>
      <c r="S98" s="2"/>
      <c r="T98" s="2"/>
      <c r="U98" s="2"/>
      <c r="V98" s="2"/>
      <c r="W98" s="2"/>
      <c r="X98" s="2"/>
      <c r="Y98">
        <f t="shared" si="2"/>
        <v>2</v>
      </c>
      <c r="Z98">
        <f t="shared" si="3"/>
        <v>2</v>
      </c>
    </row>
    <row r="99" spans="1:26" x14ac:dyDescent="0.25">
      <c r="A99" t="s">
        <v>127</v>
      </c>
      <c r="B99" s="7">
        <v>18</v>
      </c>
      <c r="C99" s="8" t="s">
        <v>25</v>
      </c>
      <c r="D99" s="8" t="s">
        <v>20</v>
      </c>
      <c r="E99" s="2">
        <v>15.6</v>
      </c>
      <c r="F99" s="2">
        <v>21.8</v>
      </c>
      <c r="G99" s="2">
        <v>7</v>
      </c>
      <c r="H99" s="2">
        <v>112</v>
      </c>
      <c r="I99" s="2">
        <v>19</v>
      </c>
      <c r="J99" s="2">
        <v>21</v>
      </c>
      <c r="K99" s="2">
        <v>37</v>
      </c>
      <c r="L99" s="2">
        <v>149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2</v>
      </c>
      <c r="S99" s="2">
        <v>5</v>
      </c>
      <c r="T99" s="2">
        <v>0</v>
      </c>
      <c r="U99" s="2">
        <v>2</v>
      </c>
      <c r="V99" s="2">
        <v>0</v>
      </c>
      <c r="W99" s="2">
        <v>1</v>
      </c>
      <c r="X99" s="2">
        <v>28</v>
      </c>
      <c r="Y99">
        <f t="shared" si="2"/>
        <v>9</v>
      </c>
      <c r="Z99">
        <f t="shared" si="3"/>
        <v>3.3333333333333335</v>
      </c>
    </row>
    <row r="100" spans="1:26" x14ac:dyDescent="0.25">
      <c r="A100" t="s">
        <v>128</v>
      </c>
      <c r="B100" s="7">
        <v>19</v>
      </c>
      <c r="C100" s="8" t="s">
        <v>25</v>
      </c>
      <c r="D100" s="8" t="s">
        <v>20</v>
      </c>
      <c r="E100" s="2">
        <v>18.5</v>
      </c>
      <c r="F100" s="2">
        <v>27.5</v>
      </c>
      <c r="G100" s="2"/>
      <c r="H100" s="2">
        <v>26</v>
      </c>
      <c r="I100" s="2"/>
      <c r="J100" s="2">
        <v>53.5</v>
      </c>
      <c r="K100" s="2">
        <v>40</v>
      </c>
      <c r="L100" s="2">
        <v>137</v>
      </c>
      <c r="M100" s="2"/>
      <c r="N100" s="2"/>
      <c r="O100" s="2"/>
      <c r="P100" s="2"/>
      <c r="Q100" s="2"/>
      <c r="R100" s="2"/>
      <c r="S100" s="2">
        <v>8</v>
      </c>
      <c r="T100" s="2">
        <v>2</v>
      </c>
      <c r="U100" s="2">
        <v>4</v>
      </c>
      <c r="V100" s="2">
        <v>0</v>
      </c>
      <c r="W100" s="2">
        <v>0</v>
      </c>
      <c r="X100" s="2">
        <v>62</v>
      </c>
      <c r="Y100">
        <f t="shared" si="2"/>
        <v>14</v>
      </c>
      <c r="Z100">
        <f t="shared" si="3"/>
        <v>4.4285714285714288</v>
      </c>
    </row>
    <row r="101" spans="1:26" x14ac:dyDescent="0.25">
      <c r="A101" t="s">
        <v>129</v>
      </c>
      <c r="B101" s="7">
        <v>20</v>
      </c>
      <c r="C101" s="8" t="s">
        <v>25</v>
      </c>
      <c r="D101" s="8" t="s">
        <v>20</v>
      </c>
      <c r="E101" s="2">
        <v>10.1</v>
      </c>
      <c r="F101" s="2">
        <v>15</v>
      </c>
      <c r="G101" s="2">
        <v>54</v>
      </c>
      <c r="H101" s="2">
        <v>159</v>
      </c>
      <c r="I101" s="2">
        <v>50</v>
      </c>
      <c r="J101" s="2">
        <v>40</v>
      </c>
      <c r="K101" s="2">
        <v>45</v>
      </c>
      <c r="L101" s="2">
        <v>396</v>
      </c>
      <c r="M101" s="2"/>
      <c r="N101" s="2"/>
      <c r="O101" s="2"/>
      <c r="P101" s="2"/>
      <c r="Q101" s="2"/>
      <c r="R101" s="2"/>
      <c r="S101" s="2">
        <v>2</v>
      </c>
      <c r="T101" s="2">
        <v>0</v>
      </c>
      <c r="U101" s="2">
        <v>2</v>
      </c>
      <c r="V101" s="2">
        <v>0</v>
      </c>
      <c r="W101" s="2">
        <v>0</v>
      </c>
      <c r="X101" s="2">
        <v>49</v>
      </c>
      <c r="Y101">
        <f t="shared" si="2"/>
        <v>4</v>
      </c>
      <c r="Z101">
        <f t="shared" si="3"/>
        <v>12.25</v>
      </c>
    </row>
    <row r="102" spans="1:26" x14ac:dyDescent="0.25">
      <c r="A102" t="s">
        <v>130</v>
      </c>
      <c r="B102" s="7">
        <v>1</v>
      </c>
      <c r="C102" s="8" t="s">
        <v>26</v>
      </c>
      <c r="D102" s="8" t="s">
        <v>20</v>
      </c>
      <c r="E102" s="2">
        <v>7.5</v>
      </c>
      <c r="F102" s="2">
        <v>16.5</v>
      </c>
      <c r="G102" s="2">
        <v>13</v>
      </c>
      <c r="H102" s="2">
        <v>83</v>
      </c>
      <c r="I102" s="2">
        <v>26.3</v>
      </c>
      <c r="J102" s="2">
        <v>32.6</v>
      </c>
      <c r="K102" s="2">
        <v>47</v>
      </c>
      <c r="L102" s="2">
        <v>669</v>
      </c>
      <c r="M102" s="2">
        <v>0</v>
      </c>
      <c r="N102" s="2">
        <v>0</v>
      </c>
      <c r="O102" s="2">
        <v>2</v>
      </c>
      <c r="P102" s="2">
        <v>0</v>
      </c>
      <c r="Q102" s="2">
        <v>0</v>
      </c>
      <c r="R102" s="2">
        <v>3</v>
      </c>
      <c r="S102" s="2">
        <v>3</v>
      </c>
      <c r="T102" s="2">
        <v>0</v>
      </c>
      <c r="U102" s="2">
        <v>5</v>
      </c>
      <c r="V102" s="2">
        <v>1</v>
      </c>
      <c r="W102" s="2">
        <v>0</v>
      </c>
      <c r="X102" s="2">
        <v>7</v>
      </c>
      <c r="Y102">
        <f t="shared" si="2"/>
        <v>11</v>
      </c>
      <c r="Z102">
        <f t="shared" si="3"/>
        <v>0.90909090909090906</v>
      </c>
    </row>
    <row r="103" spans="1:26" x14ac:dyDescent="0.25">
      <c r="A103" t="s">
        <v>131</v>
      </c>
      <c r="B103" s="7">
        <v>2</v>
      </c>
      <c r="C103" s="8" t="s">
        <v>26</v>
      </c>
      <c r="D103" s="8" t="s">
        <v>20</v>
      </c>
      <c r="E103" s="2">
        <v>12.5</v>
      </c>
      <c r="F103" s="2">
        <v>14.8</v>
      </c>
      <c r="G103" s="2"/>
      <c r="H103" s="2"/>
      <c r="I103" s="2"/>
      <c r="J103" s="2"/>
      <c r="K103" s="2">
        <v>39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>
        <f t="shared" si="2"/>
        <v>0</v>
      </c>
      <c r="Z103" t="e">
        <f t="shared" si="3"/>
        <v>#DIV/0!</v>
      </c>
    </row>
    <row r="104" spans="1:26" x14ac:dyDescent="0.25">
      <c r="A104" t="s">
        <v>132</v>
      </c>
      <c r="B104" s="7">
        <v>3</v>
      </c>
      <c r="C104" s="8" t="s">
        <v>26</v>
      </c>
      <c r="D104" s="8" t="s">
        <v>20</v>
      </c>
      <c r="E104" s="2">
        <v>7.8</v>
      </c>
      <c r="F104" s="2">
        <v>14.5</v>
      </c>
      <c r="G104" s="2">
        <v>342</v>
      </c>
      <c r="H104" s="2">
        <v>176</v>
      </c>
      <c r="I104" s="2">
        <v>62</v>
      </c>
      <c r="J104" s="2">
        <v>68</v>
      </c>
      <c r="K104" s="2">
        <v>62</v>
      </c>
      <c r="L104" s="2">
        <v>4777</v>
      </c>
      <c r="M104" s="2">
        <v>12</v>
      </c>
      <c r="N104" s="2">
        <v>1</v>
      </c>
      <c r="O104" s="2">
        <v>7</v>
      </c>
      <c r="P104" s="2">
        <v>1</v>
      </c>
      <c r="Q104" s="2">
        <v>1</v>
      </c>
      <c r="R104" s="2">
        <v>106</v>
      </c>
      <c r="S104" s="2">
        <v>3</v>
      </c>
      <c r="T104" s="2">
        <v>0</v>
      </c>
      <c r="U104" s="2">
        <v>4</v>
      </c>
      <c r="V104" s="2">
        <v>0</v>
      </c>
      <c r="W104" s="2">
        <v>0</v>
      </c>
      <c r="X104" s="2">
        <v>43</v>
      </c>
      <c r="Y104">
        <f t="shared" si="2"/>
        <v>29</v>
      </c>
      <c r="Z104">
        <f t="shared" si="3"/>
        <v>5.1379310344827589</v>
      </c>
    </row>
    <row r="105" spans="1:26" x14ac:dyDescent="0.25">
      <c r="A105" t="s">
        <v>133</v>
      </c>
      <c r="B105" s="7">
        <v>4</v>
      </c>
      <c r="C105" s="8" t="s">
        <v>26</v>
      </c>
      <c r="D105" s="8" t="s">
        <v>20</v>
      </c>
      <c r="E105" s="2">
        <v>8.8000000000000007</v>
      </c>
      <c r="F105" s="2">
        <v>11.4</v>
      </c>
      <c r="G105" s="2">
        <v>16</v>
      </c>
      <c r="H105" s="2">
        <v>30</v>
      </c>
      <c r="I105" s="2">
        <v>31.5</v>
      </c>
      <c r="J105" s="2">
        <v>42.4</v>
      </c>
      <c r="K105" s="2">
        <v>41</v>
      </c>
      <c r="L105" s="2">
        <v>1149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3</v>
      </c>
      <c r="S105" s="2">
        <v>0</v>
      </c>
      <c r="T105" s="2">
        <v>0</v>
      </c>
      <c r="U105" s="2">
        <v>1</v>
      </c>
      <c r="V105" s="2">
        <v>0</v>
      </c>
      <c r="W105" s="2">
        <v>0</v>
      </c>
      <c r="X105" s="2">
        <v>6</v>
      </c>
      <c r="Y105">
        <f t="shared" si="2"/>
        <v>2</v>
      </c>
      <c r="Z105">
        <f t="shared" si="3"/>
        <v>4.5</v>
      </c>
    </row>
    <row r="106" spans="1:26" x14ac:dyDescent="0.25">
      <c r="A106" t="s">
        <v>134</v>
      </c>
      <c r="B106" s="7">
        <v>5</v>
      </c>
      <c r="C106" s="8" t="s">
        <v>26</v>
      </c>
      <c r="D106" s="8" t="s">
        <v>20</v>
      </c>
      <c r="E106" s="2">
        <v>10.3</v>
      </c>
      <c r="F106" s="2">
        <v>20</v>
      </c>
      <c r="G106" s="2">
        <v>56</v>
      </c>
      <c r="H106" s="2">
        <v>85</v>
      </c>
      <c r="I106" s="2">
        <v>52</v>
      </c>
      <c r="J106" s="2">
        <v>60</v>
      </c>
      <c r="K106" s="2">
        <v>45</v>
      </c>
      <c r="L106" s="2">
        <v>535</v>
      </c>
      <c r="M106" s="2">
        <v>4</v>
      </c>
      <c r="N106" s="2">
        <v>0</v>
      </c>
      <c r="O106" s="2">
        <v>0</v>
      </c>
      <c r="P106" s="2">
        <v>0</v>
      </c>
      <c r="Q106" s="2">
        <v>0</v>
      </c>
      <c r="R106" s="2">
        <v>11</v>
      </c>
      <c r="S106" s="2">
        <v>3</v>
      </c>
      <c r="T106" s="2">
        <v>0</v>
      </c>
      <c r="U106" s="2">
        <v>3</v>
      </c>
      <c r="V106" s="2">
        <v>0</v>
      </c>
      <c r="W106" s="2">
        <v>0</v>
      </c>
      <c r="X106" s="2">
        <v>18</v>
      </c>
      <c r="Y106">
        <f t="shared" si="2"/>
        <v>10</v>
      </c>
      <c r="Z106">
        <f t="shared" si="3"/>
        <v>2.9</v>
      </c>
    </row>
    <row r="107" spans="1:26" x14ac:dyDescent="0.25">
      <c r="A107" t="s">
        <v>135</v>
      </c>
      <c r="B107" s="7">
        <v>6</v>
      </c>
      <c r="C107" s="8" t="s">
        <v>26</v>
      </c>
      <c r="D107" s="8" t="s">
        <v>20</v>
      </c>
      <c r="E107" s="2">
        <v>11.4</v>
      </c>
      <c r="F107" s="2">
        <v>18.8</v>
      </c>
      <c r="G107" s="2"/>
      <c r="H107" s="2"/>
      <c r="I107" s="2"/>
      <c r="J107" s="2"/>
      <c r="K107" s="2">
        <v>63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>
        <f t="shared" si="2"/>
        <v>0</v>
      </c>
      <c r="Z107" t="e">
        <f t="shared" si="3"/>
        <v>#DIV/0!</v>
      </c>
    </row>
    <row r="108" spans="1:26" x14ac:dyDescent="0.25">
      <c r="A108" t="s">
        <v>136</v>
      </c>
      <c r="B108" s="7">
        <v>7</v>
      </c>
      <c r="C108" s="8" t="s">
        <v>26</v>
      </c>
      <c r="D108" s="8" t="s">
        <v>20</v>
      </c>
      <c r="E108" s="2">
        <v>5.3</v>
      </c>
      <c r="F108" s="2">
        <v>13.4</v>
      </c>
      <c r="G108" s="2">
        <v>36</v>
      </c>
      <c r="H108" s="2">
        <v>36</v>
      </c>
      <c r="I108" s="2">
        <v>42</v>
      </c>
      <c r="J108" s="2">
        <v>49</v>
      </c>
      <c r="K108" s="2"/>
      <c r="L108" s="2">
        <v>1025</v>
      </c>
      <c r="M108" s="2">
        <v>3</v>
      </c>
      <c r="N108" s="2">
        <v>0</v>
      </c>
      <c r="O108" s="2">
        <v>2</v>
      </c>
      <c r="P108" s="2">
        <v>0</v>
      </c>
      <c r="Q108" s="2">
        <v>0</v>
      </c>
      <c r="R108" s="2">
        <v>43</v>
      </c>
      <c r="S108" s="2">
        <v>2</v>
      </c>
      <c r="T108" s="2">
        <v>1</v>
      </c>
      <c r="U108" s="2">
        <v>0</v>
      </c>
      <c r="V108" s="2">
        <v>0</v>
      </c>
      <c r="W108" s="2">
        <v>0</v>
      </c>
      <c r="X108" s="2">
        <v>11</v>
      </c>
      <c r="Y108">
        <f t="shared" si="2"/>
        <v>8</v>
      </c>
      <c r="Z108">
        <f t="shared" si="3"/>
        <v>6.75</v>
      </c>
    </row>
    <row r="109" spans="1:26" x14ac:dyDescent="0.25">
      <c r="A109" t="s">
        <v>137</v>
      </c>
      <c r="B109" s="7">
        <v>8</v>
      </c>
      <c r="C109" s="8" t="s">
        <v>26</v>
      </c>
      <c r="D109" s="8" t="s">
        <v>20</v>
      </c>
      <c r="E109" s="2">
        <v>12.5</v>
      </c>
      <c r="F109" s="2">
        <v>19.5</v>
      </c>
      <c r="G109" s="2">
        <v>56</v>
      </c>
      <c r="H109" s="2">
        <v>131</v>
      </c>
      <c r="I109" s="2">
        <v>41.5</v>
      </c>
      <c r="J109" s="2">
        <v>60.1</v>
      </c>
      <c r="K109" s="2">
        <v>39</v>
      </c>
      <c r="L109" s="2">
        <v>14679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4</v>
      </c>
      <c r="S109" s="2">
        <v>3</v>
      </c>
      <c r="T109" s="2">
        <v>2</v>
      </c>
      <c r="U109" s="2">
        <v>12</v>
      </c>
      <c r="V109" s="2">
        <v>0</v>
      </c>
      <c r="W109" s="2">
        <v>1</v>
      </c>
      <c r="X109" s="2">
        <v>70</v>
      </c>
      <c r="Y109">
        <f t="shared" si="2"/>
        <v>19</v>
      </c>
      <c r="Z109">
        <f t="shared" si="3"/>
        <v>3.8947368421052633</v>
      </c>
    </row>
    <row r="110" spans="1:26" x14ac:dyDescent="0.25">
      <c r="A110" t="s">
        <v>138</v>
      </c>
      <c r="B110" s="7">
        <v>9</v>
      </c>
      <c r="C110" s="8" t="s">
        <v>26</v>
      </c>
      <c r="D110" s="8" t="s">
        <v>20</v>
      </c>
      <c r="E110" s="2">
        <v>7</v>
      </c>
      <c r="F110" s="2">
        <v>18</v>
      </c>
      <c r="G110" s="2">
        <v>35</v>
      </c>
      <c r="H110" s="2">
        <v>68</v>
      </c>
      <c r="I110" s="2">
        <v>52</v>
      </c>
      <c r="J110" s="2">
        <v>59</v>
      </c>
      <c r="K110" s="2">
        <v>42</v>
      </c>
      <c r="L110" s="2">
        <v>866</v>
      </c>
      <c r="M110" s="2">
        <v>1</v>
      </c>
      <c r="N110" s="2">
        <v>0</v>
      </c>
      <c r="O110" s="2">
        <v>5</v>
      </c>
      <c r="P110" s="2">
        <v>0</v>
      </c>
      <c r="Q110" s="2">
        <v>0</v>
      </c>
      <c r="R110" s="2">
        <v>24</v>
      </c>
      <c r="S110" s="2">
        <v>1</v>
      </c>
      <c r="T110" s="2">
        <v>0</v>
      </c>
      <c r="U110" s="2">
        <v>2</v>
      </c>
      <c r="V110" s="2">
        <v>0</v>
      </c>
      <c r="W110" s="2">
        <v>0</v>
      </c>
      <c r="X110" s="2">
        <v>14</v>
      </c>
      <c r="Y110">
        <f t="shared" si="2"/>
        <v>9</v>
      </c>
      <c r="Z110">
        <f t="shared" si="3"/>
        <v>4.2222222222222223</v>
      </c>
    </row>
    <row r="111" spans="1:26" x14ac:dyDescent="0.25">
      <c r="A111" t="s">
        <v>139</v>
      </c>
      <c r="B111" s="7">
        <v>10</v>
      </c>
      <c r="C111" s="8" t="s">
        <v>26</v>
      </c>
      <c r="D111" s="8" t="s">
        <v>20</v>
      </c>
      <c r="E111" s="2">
        <v>7.7</v>
      </c>
      <c r="F111" s="2">
        <v>11.2</v>
      </c>
      <c r="G111" s="2">
        <v>14</v>
      </c>
      <c r="H111" s="2">
        <v>66</v>
      </c>
      <c r="I111" s="2">
        <v>36.200000000000003</v>
      </c>
      <c r="J111" s="2">
        <v>42</v>
      </c>
      <c r="K111" s="2">
        <v>48</v>
      </c>
      <c r="L111" s="2">
        <v>1559</v>
      </c>
      <c r="M111" s="2">
        <v>0</v>
      </c>
      <c r="N111" s="2">
        <v>2</v>
      </c>
      <c r="O111" s="2">
        <v>1</v>
      </c>
      <c r="P111" s="2">
        <v>0</v>
      </c>
      <c r="Q111" s="2">
        <v>0</v>
      </c>
      <c r="R111" s="2">
        <v>6</v>
      </c>
      <c r="S111" s="2">
        <v>1</v>
      </c>
      <c r="T111" s="2">
        <v>0</v>
      </c>
      <c r="U111" s="2">
        <v>5</v>
      </c>
      <c r="V111" s="2">
        <v>0</v>
      </c>
      <c r="W111" s="2">
        <v>0</v>
      </c>
      <c r="X111" s="2">
        <v>37</v>
      </c>
      <c r="Y111">
        <f t="shared" si="2"/>
        <v>9</v>
      </c>
      <c r="Z111">
        <f t="shared" si="3"/>
        <v>4.7777777777777777</v>
      </c>
    </row>
    <row r="112" spans="1:26" x14ac:dyDescent="0.25">
      <c r="A112" t="s">
        <v>140</v>
      </c>
      <c r="B112" s="7">
        <v>11</v>
      </c>
      <c r="C112" s="8" t="s">
        <v>26</v>
      </c>
      <c r="D112" s="8" t="s">
        <v>20</v>
      </c>
      <c r="E112" s="2">
        <v>12.7</v>
      </c>
      <c r="F112" s="2">
        <v>15.8</v>
      </c>
      <c r="G112" s="2">
        <v>18</v>
      </c>
      <c r="H112" s="2">
        <v>43</v>
      </c>
      <c r="I112" s="2">
        <v>39</v>
      </c>
      <c r="J112" s="2">
        <v>52.5</v>
      </c>
      <c r="K112" s="2">
        <v>42</v>
      </c>
      <c r="L112" s="2">
        <v>4197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  <c r="R112" s="2" t="e">
        <v>#VALUE!</v>
      </c>
      <c r="S112" s="2">
        <v>2</v>
      </c>
      <c r="T112" s="2">
        <v>0</v>
      </c>
      <c r="U112" s="2">
        <v>0</v>
      </c>
      <c r="V112" s="2">
        <v>0</v>
      </c>
      <c r="W112" s="2">
        <v>0</v>
      </c>
      <c r="X112" s="2">
        <v>5</v>
      </c>
      <c r="Y112">
        <f t="shared" si="2"/>
        <v>3</v>
      </c>
      <c r="Z112" t="e">
        <f t="shared" si="3"/>
        <v>#VALUE!</v>
      </c>
    </row>
    <row r="113" spans="1:26" x14ac:dyDescent="0.25">
      <c r="A113" t="s">
        <v>141</v>
      </c>
      <c r="B113" s="7">
        <v>12</v>
      </c>
      <c r="C113" s="8" t="s">
        <v>26</v>
      </c>
      <c r="D113" s="8" t="s">
        <v>20</v>
      </c>
      <c r="E113" s="2">
        <v>10.9</v>
      </c>
      <c r="F113" s="2">
        <v>20.9</v>
      </c>
      <c r="G113" s="2"/>
      <c r="H113" s="2">
        <v>201</v>
      </c>
      <c r="I113" s="2"/>
      <c r="J113" s="2">
        <v>67.2</v>
      </c>
      <c r="K113" s="2">
        <v>42</v>
      </c>
      <c r="L113" s="2">
        <v>9181</v>
      </c>
      <c r="M113" s="2"/>
      <c r="N113" s="2"/>
      <c r="O113" s="2"/>
      <c r="P113" s="2"/>
      <c r="Q113" s="2"/>
      <c r="R113" s="2"/>
      <c r="S113" s="2">
        <v>5</v>
      </c>
      <c r="T113" s="2">
        <v>1</v>
      </c>
      <c r="U113" s="2">
        <v>1</v>
      </c>
      <c r="V113" s="2">
        <v>0</v>
      </c>
      <c r="W113" s="2">
        <v>1</v>
      </c>
      <c r="X113" s="2">
        <v>37</v>
      </c>
      <c r="Y113">
        <f t="shared" si="2"/>
        <v>8</v>
      </c>
      <c r="Z113">
        <f t="shared" si="3"/>
        <v>4.625</v>
      </c>
    </row>
    <row r="114" spans="1:26" x14ac:dyDescent="0.25">
      <c r="A114" t="s">
        <v>142</v>
      </c>
      <c r="B114" s="7">
        <v>13</v>
      </c>
      <c r="C114" s="8" t="s">
        <v>26</v>
      </c>
      <c r="D114" s="8" t="s">
        <v>20</v>
      </c>
      <c r="E114" s="2">
        <v>11.5</v>
      </c>
      <c r="F114" s="2">
        <v>11.2</v>
      </c>
      <c r="G114" s="2"/>
      <c r="H114" s="2"/>
      <c r="I114" s="2"/>
      <c r="J114" s="2"/>
      <c r="K114" s="2">
        <v>40</v>
      </c>
      <c r="L114" s="2">
        <v>132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>
        <f t="shared" si="2"/>
        <v>0</v>
      </c>
      <c r="Z114" t="e">
        <f t="shared" si="3"/>
        <v>#DIV/0!</v>
      </c>
    </row>
    <row r="115" spans="1:26" x14ac:dyDescent="0.25">
      <c r="A115" t="s">
        <v>143</v>
      </c>
      <c r="B115" s="7">
        <v>14</v>
      </c>
      <c r="C115" s="8" t="s">
        <v>26</v>
      </c>
      <c r="D115" s="8" t="s">
        <v>20</v>
      </c>
      <c r="E115" s="2">
        <v>7.8</v>
      </c>
      <c r="F115" s="2">
        <v>9.5</v>
      </c>
      <c r="G115" s="2"/>
      <c r="H115" s="2">
        <v>27</v>
      </c>
      <c r="I115" s="2"/>
      <c r="J115" s="2">
        <v>27.3</v>
      </c>
      <c r="K115" s="2">
        <v>50</v>
      </c>
      <c r="L115" s="2">
        <v>447</v>
      </c>
      <c r="M115" s="2"/>
      <c r="N115" s="2"/>
      <c r="O115" s="2"/>
      <c r="P115" s="2"/>
      <c r="Q115" s="2"/>
      <c r="R115" s="2"/>
      <c r="S115" s="2">
        <v>1</v>
      </c>
      <c r="T115" s="2">
        <v>0</v>
      </c>
      <c r="U115" s="2">
        <v>1</v>
      </c>
      <c r="V115" s="2">
        <v>0</v>
      </c>
      <c r="W115" s="2">
        <v>0</v>
      </c>
      <c r="X115" s="2">
        <v>5</v>
      </c>
      <c r="Y115">
        <f t="shared" si="2"/>
        <v>2</v>
      </c>
      <c r="Z115">
        <f t="shared" si="3"/>
        <v>2.5</v>
      </c>
    </row>
    <row r="116" spans="1:26" x14ac:dyDescent="0.25">
      <c r="A116" t="s">
        <v>144</v>
      </c>
      <c r="B116" s="7">
        <v>15</v>
      </c>
      <c r="C116" s="8" t="s">
        <v>26</v>
      </c>
      <c r="D116" s="8" t="s">
        <v>20</v>
      </c>
      <c r="E116" s="2">
        <v>11</v>
      </c>
      <c r="F116" s="2"/>
      <c r="G116" s="2"/>
      <c r="H116" s="2"/>
      <c r="I116" s="2"/>
      <c r="J116" s="2"/>
      <c r="K116" s="2">
        <v>38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>
        <f t="shared" si="2"/>
        <v>0</v>
      </c>
      <c r="Z116" t="e">
        <f t="shared" si="3"/>
        <v>#DIV/0!</v>
      </c>
    </row>
    <row r="117" spans="1:26" x14ac:dyDescent="0.25">
      <c r="A117" t="s">
        <v>145</v>
      </c>
      <c r="B117" s="7">
        <v>16</v>
      </c>
      <c r="C117" s="8" t="s">
        <v>26</v>
      </c>
      <c r="D117" s="8" t="s">
        <v>20</v>
      </c>
      <c r="E117" s="2">
        <v>5.7</v>
      </c>
      <c r="F117" s="2">
        <v>12.3</v>
      </c>
      <c r="G117" s="2">
        <v>172</v>
      </c>
      <c r="H117" s="2">
        <v>22</v>
      </c>
      <c r="I117" s="2">
        <v>49</v>
      </c>
      <c r="J117" s="2">
        <v>57.5</v>
      </c>
      <c r="K117" s="2">
        <v>60</v>
      </c>
      <c r="L117" s="2">
        <v>824</v>
      </c>
      <c r="M117" s="2">
        <v>9</v>
      </c>
      <c r="N117" s="2">
        <v>0</v>
      </c>
      <c r="O117" s="2">
        <v>3</v>
      </c>
      <c r="P117" s="2">
        <v>1</v>
      </c>
      <c r="Q117" s="2">
        <v>0</v>
      </c>
      <c r="R117" s="2">
        <v>73</v>
      </c>
      <c r="S117" s="2"/>
      <c r="T117" s="2"/>
      <c r="U117" s="2"/>
      <c r="V117" s="2"/>
      <c r="W117" s="2"/>
      <c r="X117" s="2"/>
      <c r="Y117">
        <f t="shared" si="2"/>
        <v>13</v>
      </c>
      <c r="Z117">
        <f t="shared" si="3"/>
        <v>5.615384615384615</v>
      </c>
    </row>
    <row r="118" spans="1:26" x14ac:dyDescent="0.25">
      <c r="A118" t="s">
        <v>146</v>
      </c>
      <c r="B118" s="7">
        <v>17</v>
      </c>
      <c r="C118" s="8" t="s">
        <v>26</v>
      </c>
      <c r="D118" s="8" t="s">
        <v>20</v>
      </c>
      <c r="E118" s="2">
        <v>10.4</v>
      </c>
      <c r="F118" s="2">
        <v>22.5</v>
      </c>
      <c r="G118" s="2">
        <v>188</v>
      </c>
      <c r="H118" s="2">
        <v>168</v>
      </c>
      <c r="I118" s="2">
        <v>33</v>
      </c>
      <c r="J118" s="2">
        <v>46</v>
      </c>
      <c r="K118" s="2">
        <v>60</v>
      </c>
      <c r="L118" s="2">
        <v>4187</v>
      </c>
      <c r="M118" s="2">
        <v>4</v>
      </c>
      <c r="N118" s="2">
        <v>1</v>
      </c>
      <c r="O118" s="2">
        <v>1</v>
      </c>
      <c r="P118" s="2">
        <v>0</v>
      </c>
      <c r="Q118" s="2">
        <v>0</v>
      </c>
      <c r="R118" s="2">
        <v>27</v>
      </c>
      <c r="S118" s="2"/>
      <c r="T118" s="2"/>
      <c r="U118" s="2"/>
      <c r="V118" s="2"/>
      <c r="W118" s="2"/>
      <c r="X118" s="2"/>
      <c r="Y118">
        <f t="shared" si="2"/>
        <v>6</v>
      </c>
      <c r="Z118">
        <f t="shared" si="3"/>
        <v>4.5</v>
      </c>
    </row>
    <row r="119" spans="1:26" x14ac:dyDescent="0.25">
      <c r="A119" t="s">
        <v>147</v>
      </c>
      <c r="B119" s="7">
        <v>18</v>
      </c>
      <c r="C119" s="8" t="s">
        <v>26</v>
      </c>
      <c r="D119" s="8" t="s">
        <v>20</v>
      </c>
      <c r="E119" s="2">
        <v>9.9</v>
      </c>
      <c r="F119" s="2">
        <v>19</v>
      </c>
      <c r="G119" s="2">
        <v>15</v>
      </c>
      <c r="H119" s="2"/>
      <c r="I119" s="2">
        <v>33</v>
      </c>
      <c r="J119" s="2"/>
      <c r="K119" s="2">
        <v>46</v>
      </c>
      <c r="L119" s="2"/>
      <c r="M119" s="2">
        <v>2</v>
      </c>
      <c r="N119" s="2">
        <v>0</v>
      </c>
      <c r="O119" s="2">
        <v>1</v>
      </c>
      <c r="P119" s="2">
        <v>0</v>
      </c>
      <c r="Q119" s="2">
        <v>0</v>
      </c>
      <c r="R119" s="2">
        <v>7</v>
      </c>
      <c r="S119" s="2"/>
      <c r="T119" s="2"/>
      <c r="U119" s="2"/>
      <c r="V119" s="2"/>
      <c r="W119" s="2"/>
      <c r="X119" s="2"/>
      <c r="Y119">
        <f t="shared" si="2"/>
        <v>3</v>
      </c>
      <c r="Z119">
        <f t="shared" si="3"/>
        <v>2.3333333333333335</v>
      </c>
    </row>
    <row r="120" spans="1:26" x14ac:dyDescent="0.25">
      <c r="A120" t="s">
        <v>148</v>
      </c>
      <c r="B120" s="7">
        <v>19</v>
      </c>
      <c r="C120" s="8" t="s">
        <v>26</v>
      </c>
      <c r="D120" s="8" t="s">
        <v>20</v>
      </c>
      <c r="E120" s="2">
        <v>8.1999999999999993</v>
      </c>
      <c r="F120" s="2">
        <v>19.7</v>
      </c>
      <c r="G120" s="2">
        <v>363</v>
      </c>
      <c r="H120" s="2">
        <v>650</v>
      </c>
      <c r="I120" s="2">
        <v>60</v>
      </c>
      <c r="J120" s="2">
        <v>78</v>
      </c>
      <c r="K120" s="2">
        <v>66</v>
      </c>
      <c r="L120" s="2">
        <v>835</v>
      </c>
      <c r="M120" s="2">
        <v>16</v>
      </c>
      <c r="N120" s="2">
        <v>1</v>
      </c>
      <c r="O120" s="2">
        <v>5</v>
      </c>
      <c r="P120" s="2">
        <v>8</v>
      </c>
      <c r="Q120" s="2">
        <v>1</v>
      </c>
      <c r="R120" s="2">
        <v>101</v>
      </c>
      <c r="S120" s="2"/>
      <c r="T120" s="2"/>
      <c r="U120" s="2"/>
      <c r="V120" s="2"/>
      <c r="W120" s="2"/>
      <c r="X120" s="2"/>
      <c r="Y120">
        <f t="shared" si="2"/>
        <v>31</v>
      </c>
      <c r="Z120">
        <f t="shared" si="3"/>
        <v>3.2580645161290325</v>
      </c>
    </row>
    <row r="121" spans="1:26" x14ac:dyDescent="0.25">
      <c r="A121" t="s">
        <v>149</v>
      </c>
      <c r="B121" s="7">
        <v>20</v>
      </c>
      <c r="C121" s="8" t="s">
        <v>26</v>
      </c>
      <c r="D121" s="8" t="s">
        <v>20</v>
      </c>
      <c r="E121" s="2">
        <v>12</v>
      </c>
      <c r="F121" s="2">
        <v>17</v>
      </c>
      <c r="G121" s="2">
        <v>11</v>
      </c>
      <c r="H121" s="2">
        <v>121</v>
      </c>
      <c r="I121" s="2">
        <v>49</v>
      </c>
      <c r="J121" s="2">
        <v>61</v>
      </c>
      <c r="K121" s="2">
        <v>52</v>
      </c>
      <c r="L121" s="2">
        <v>218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3</v>
      </c>
      <c r="S121" s="2">
        <v>1</v>
      </c>
      <c r="T121" s="2">
        <v>1</v>
      </c>
      <c r="U121" s="2">
        <v>1</v>
      </c>
      <c r="V121" s="2">
        <v>0</v>
      </c>
      <c r="W121" s="2">
        <v>0</v>
      </c>
      <c r="X121" s="2">
        <v>4</v>
      </c>
      <c r="Y121">
        <f t="shared" si="2"/>
        <v>4</v>
      </c>
      <c r="Z121">
        <f t="shared" si="3"/>
        <v>1.75</v>
      </c>
    </row>
    <row r="122" spans="1:26" x14ac:dyDescent="0.25">
      <c r="A122" t="s">
        <v>150</v>
      </c>
      <c r="B122" s="7">
        <v>21</v>
      </c>
      <c r="C122" s="8" t="s">
        <v>19</v>
      </c>
      <c r="D122" s="8" t="s">
        <v>27</v>
      </c>
      <c r="E122" s="9">
        <v>9.8000000000000007</v>
      </c>
      <c r="F122" s="9">
        <v>13.4</v>
      </c>
      <c r="G122" s="2">
        <v>24</v>
      </c>
      <c r="H122" s="2">
        <v>47</v>
      </c>
      <c r="I122" s="2">
        <v>47</v>
      </c>
      <c r="J122" s="2">
        <v>47.9</v>
      </c>
      <c r="K122" s="2">
        <v>35</v>
      </c>
      <c r="L122" s="2">
        <v>329</v>
      </c>
      <c r="M122" s="2">
        <v>2</v>
      </c>
      <c r="N122" s="2">
        <v>0</v>
      </c>
      <c r="O122" s="2">
        <v>0</v>
      </c>
      <c r="P122" s="2">
        <v>0</v>
      </c>
      <c r="Q122" s="2">
        <v>0</v>
      </c>
      <c r="R122" s="2">
        <v>9</v>
      </c>
      <c r="S122" s="2">
        <v>7</v>
      </c>
      <c r="T122" s="2">
        <v>0</v>
      </c>
      <c r="U122" s="2">
        <v>0</v>
      </c>
      <c r="V122" s="2">
        <v>1</v>
      </c>
      <c r="W122" s="2">
        <v>0</v>
      </c>
      <c r="X122" s="2">
        <v>20</v>
      </c>
      <c r="Y122">
        <f t="shared" si="2"/>
        <v>10</v>
      </c>
      <c r="Z122">
        <f t="shared" si="3"/>
        <v>2.9</v>
      </c>
    </row>
    <row r="123" spans="1:26" x14ac:dyDescent="0.25">
      <c r="A123" t="s">
        <v>151</v>
      </c>
      <c r="B123" s="7">
        <v>22</v>
      </c>
      <c r="C123" s="8" t="s">
        <v>19</v>
      </c>
      <c r="D123" s="8" t="s">
        <v>27</v>
      </c>
      <c r="E123" s="2">
        <v>8.9</v>
      </c>
      <c r="F123" s="2">
        <v>15.3</v>
      </c>
      <c r="G123" s="2">
        <v>17</v>
      </c>
      <c r="H123" s="2">
        <v>43</v>
      </c>
      <c r="I123" s="2">
        <v>38.4</v>
      </c>
      <c r="J123" s="2">
        <v>49</v>
      </c>
      <c r="K123" s="2">
        <v>37</v>
      </c>
      <c r="L123" s="2">
        <v>512</v>
      </c>
      <c r="M123" s="2">
        <v>1</v>
      </c>
      <c r="N123" s="2">
        <v>0</v>
      </c>
      <c r="O123" s="2">
        <v>2</v>
      </c>
      <c r="P123" s="2">
        <v>0</v>
      </c>
      <c r="Q123" s="2">
        <v>0</v>
      </c>
      <c r="R123" s="2">
        <v>6</v>
      </c>
      <c r="S123" s="2">
        <v>3</v>
      </c>
      <c r="T123" s="2">
        <v>0</v>
      </c>
      <c r="U123" s="2">
        <v>1</v>
      </c>
      <c r="V123" s="2">
        <v>0</v>
      </c>
      <c r="W123" s="2">
        <v>0</v>
      </c>
      <c r="X123" s="2">
        <v>27</v>
      </c>
      <c r="Y123">
        <f t="shared" si="2"/>
        <v>7</v>
      </c>
      <c r="Z123">
        <f t="shared" si="3"/>
        <v>4.7142857142857144</v>
      </c>
    </row>
    <row r="124" spans="1:26" x14ac:dyDescent="0.25">
      <c r="A124" t="s">
        <v>152</v>
      </c>
      <c r="B124" s="7">
        <v>23</v>
      </c>
      <c r="C124" s="8" t="s">
        <v>19</v>
      </c>
      <c r="D124" s="8" t="s">
        <v>27</v>
      </c>
      <c r="E124" s="2">
        <v>12</v>
      </c>
      <c r="F124" s="2">
        <v>13.7</v>
      </c>
      <c r="G124" s="2">
        <v>34</v>
      </c>
      <c r="H124" s="2"/>
      <c r="I124" s="2">
        <v>40</v>
      </c>
      <c r="J124" s="2"/>
      <c r="K124" s="2">
        <v>39</v>
      </c>
      <c r="L124" s="2">
        <v>113</v>
      </c>
      <c r="M124" s="2">
        <v>0</v>
      </c>
      <c r="N124" s="2">
        <v>0</v>
      </c>
      <c r="O124" s="2">
        <v>0</v>
      </c>
      <c r="P124" s="2">
        <v>0</v>
      </c>
      <c r="Q124" s="2">
        <v>1</v>
      </c>
      <c r="R124" s="2">
        <v>4</v>
      </c>
      <c r="S124" s="2"/>
      <c r="T124" s="2"/>
      <c r="U124" s="2"/>
      <c r="V124" s="2"/>
      <c r="W124" s="2"/>
      <c r="X124" s="2"/>
      <c r="Y124">
        <f t="shared" si="2"/>
        <v>1</v>
      </c>
      <c r="Z124">
        <f t="shared" si="3"/>
        <v>4</v>
      </c>
    </row>
    <row r="125" spans="1:26" x14ac:dyDescent="0.25">
      <c r="A125" t="s">
        <v>153</v>
      </c>
      <c r="B125" s="7">
        <v>24</v>
      </c>
      <c r="C125" s="8" t="s">
        <v>19</v>
      </c>
      <c r="D125" s="8" t="s">
        <v>27</v>
      </c>
      <c r="E125" s="2">
        <v>15</v>
      </c>
      <c r="F125" s="2">
        <v>20</v>
      </c>
      <c r="G125" s="2">
        <v>62</v>
      </c>
      <c r="H125" s="2">
        <v>29</v>
      </c>
      <c r="I125" s="2">
        <v>60</v>
      </c>
      <c r="J125" s="2">
        <v>68</v>
      </c>
      <c r="K125" s="2">
        <v>38</v>
      </c>
      <c r="L125" s="2">
        <v>699</v>
      </c>
      <c r="M125" s="2">
        <v>2</v>
      </c>
      <c r="N125" s="2">
        <v>0</v>
      </c>
      <c r="O125" s="2">
        <v>1</v>
      </c>
      <c r="P125" s="2">
        <v>0</v>
      </c>
      <c r="Q125" s="2">
        <v>0</v>
      </c>
      <c r="R125" s="2">
        <v>11</v>
      </c>
      <c r="S125" s="2">
        <v>0</v>
      </c>
      <c r="T125" s="2">
        <v>0</v>
      </c>
      <c r="U125" s="2">
        <v>1</v>
      </c>
      <c r="V125" s="2">
        <v>0</v>
      </c>
      <c r="W125" s="2">
        <v>0</v>
      </c>
      <c r="X125" s="2">
        <v>2</v>
      </c>
      <c r="Y125">
        <f t="shared" si="2"/>
        <v>4</v>
      </c>
      <c r="Z125">
        <f t="shared" si="3"/>
        <v>3.25</v>
      </c>
    </row>
    <row r="126" spans="1:26" x14ac:dyDescent="0.25">
      <c r="A126" t="s">
        <v>154</v>
      </c>
      <c r="B126" s="7">
        <v>25</v>
      </c>
      <c r="C126" s="8" t="s">
        <v>19</v>
      </c>
      <c r="D126" s="8" t="s">
        <v>27</v>
      </c>
      <c r="E126" s="2">
        <v>14.5</v>
      </c>
      <c r="F126" s="2">
        <v>16.3</v>
      </c>
      <c r="G126" s="2">
        <v>50</v>
      </c>
      <c r="H126" s="2">
        <v>71</v>
      </c>
      <c r="I126" s="2">
        <v>52.2</v>
      </c>
      <c r="J126" s="2">
        <v>67.2</v>
      </c>
      <c r="K126" s="2">
        <v>41</v>
      </c>
      <c r="L126" s="2">
        <v>1623</v>
      </c>
      <c r="M126" s="2">
        <v>4</v>
      </c>
      <c r="N126" s="2">
        <v>0</v>
      </c>
      <c r="O126" s="2">
        <v>0</v>
      </c>
      <c r="P126" s="2">
        <v>0</v>
      </c>
      <c r="Q126" s="2">
        <v>1</v>
      </c>
      <c r="R126" s="2">
        <v>17</v>
      </c>
      <c r="S126" s="2">
        <v>0</v>
      </c>
      <c r="T126" s="2">
        <v>0</v>
      </c>
      <c r="U126" s="2">
        <v>8</v>
      </c>
      <c r="V126" s="2">
        <v>0</v>
      </c>
      <c r="W126" s="2">
        <v>0</v>
      </c>
      <c r="X126" s="2">
        <v>25</v>
      </c>
      <c r="Y126">
        <f t="shared" si="2"/>
        <v>13</v>
      </c>
      <c r="Z126">
        <f t="shared" si="3"/>
        <v>3.2307692307692308</v>
      </c>
    </row>
    <row r="127" spans="1:26" x14ac:dyDescent="0.25">
      <c r="A127" t="s">
        <v>155</v>
      </c>
      <c r="B127" s="7">
        <v>26</v>
      </c>
      <c r="C127" s="8" t="s">
        <v>19</v>
      </c>
      <c r="D127" s="8" t="s">
        <v>27</v>
      </c>
      <c r="E127" s="2">
        <v>9.9</v>
      </c>
      <c r="F127" s="2">
        <v>25.5</v>
      </c>
      <c r="G127" s="2">
        <v>5</v>
      </c>
      <c r="H127" s="2">
        <v>162</v>
      </c>
      <c r="I127" s="2">
        <v>29</v>
      </c>
      <c r="J127" s="2">
        <v>52</v>
      </c>
      <c r="K127" s="2">
        <v>41</v>
      </c>
      <c r="L127" s="2">
        <v>394</v>
      </c>
      <c r="M127" s="2">
        <v>1</v>
      </c>
      <c r="N127" s="2">
        <v>0</v>
      </c>
      <c r="O127" s="2">
        <v>0</v>
      </c>
      <c r="P127" s="2">
        <v>0</v>
      </c>
      <c r="Q127" s="2">
        <v>0</v>
      </c>
      <c r="R127" s="2">
        <v>2</v>
      </c>
      <c r="S127" s="2">
        <v>3</v>
      </c>
      <c r="T127" s="2">
        <v>0</v>
      </c>
      <c r="U127" s="2">
        <v>4</v>
      </c>
      <c r="V127" s="2">
        <v>0</v>
      </c>
      <c r="W127" s="2">
        <v>0</v>
      </c>
      <c r="X127" s="2">
        <v>60</v>
      </c>
      <c r="Y127">
        <f t="shared" si="2"/>
        <v>8</v>
      </c>
      <c r="Z127">
        <f t="shared" si="3"/>
        <v>7.75</v>
      </c>
    </row>
    <row r="128" spans="1:26" x14ac:dyDescent="0.25">
      <c r="A128" t="s">
        <v>156</v>
      </c>
      <c r="B128" s="7">
        <v>27</v>
      </c>
      <c r="C128" s="8" t="s">
        <v>19</v>
      </c>
      <c r="D128" s="8" t="s">
        <v>27</v>
      </c>
      <c r="E128" s="2">
        <v>12.2</v>
      </c>
      <c r="F128" s="2">
        <v>22</v>
      </c>
      <c r="G128" s="2">
        <v>14</v>
      </c>
      <c r="H128" s="2"/>
      <c r="I128" s="2">
        <v>39.1</v>
      </c>
      <c r="J128" s="2"/>
      <c r="K128" s="2">
        <v>36</v>
      </c>
      <c r="L128" s="2"/>
      <c r="M128" s="2">
        <v>1</v>
      </c>
      <c r="N128" s="2">
        <v>0</v>
      </c>
      <c r="O128" s="2">
        <v>2</v>
      </c>
      <c r="P128" s="2">
        <v>0</v>
      </c>
      <c r="Q128" s="2">
        <v>0</v>
      </c>
      <c r="R128" s="2">
        <v>7</v>
      </c>
      <c r="S128" s="2"/>
      <c r="T128" s="2"/>
      <c r="U128" s="2"/>
      <c r="V128" s="2"/>
      <c r="W128" s="2"/>
      <c r="X128" s="2"/>
      <c r="Y128">
        <f t="shared" si="2"/>
        <v>3</v>
      </c>
      <c r="Z128">
        <f t="shared" si="3"/>
        <v>2.3333333333333335</v>
      </c>
    </row>
    <row r="129" spans="1:26" x14ac:dyDescent="0.25">
      <c r="A129" t="s">
        <v>157</v>
      </c>
      <c r="B129" s="7">
        <v>28</v>
      </c>
      <c r="C129" s="8" t="s">
        <v>19</v>
      </c>
      <c r="D129" s="8" t="s">
        <v>27</v>
      </c>
      <c r="E129" s="2">
        <v>4.9000000000000004</v>
      </c>
      <c r="F129" s="2">
        <v>13.2</v>
      </c>
      <c r="G129" s="2">
        <v>43</v>
      </c>
      <c r="H129" s="2">
        <v>41</v>
      </c>
      <c r="I129" s="2">
        <v>49.3</v>
      </c>
      <c r="J129" s="2">
        <v>54</v>
      </c>
      <c r="K129" s="2">
        <v>45</v>
      </c>
      <c r="L129" s="2">
        <v>57</v>
      </c>
      <c r="M129" s="2"/>
      <c r="N129" s="2"/>
      <c r="O129" s="2"/>
      <c r="P129" s="2"/>
      <c r="Q129" s="2"/>
      <c r="R129" s="2"/>
      <c r="S129" s="2">
        <v>1</v>
      </c>
      <c r="T129" s="2">
        <v>0</v>
      </c>
      <c r="U129" s="2">
        <v>3</v>
      </c>
      <c r="V129" s="2">
        <v>0</v>
      </c>
      <c r="W129" s="2">
        <v>0</v>
      </c>
      <c r="X129" s="2">
        <v>25</v>
      </c>
      <c r="Y129">
        <f t="shared" si="2"/>
        <v>4</v>
      </c>
      <c r="Z129">
        <f t="shared" si="3"/>
        <v>6.25</v>
      </c>
    </row>
    <row r="130" spans="1:26" x14ac:dyDescent="0.25">
      <c r="A130" t="s">
        <v>158</v>
      </c>
      <c r="B130" s="7">
        <v>29</v>
      </c>
      <c r="C130" s="8" t="s">
        <v>19</v>
      </c>
      <c r="D130" s="8" t="s">
        <v>27</v>
      </c>
      <c r="E130" s="2">
        <v>10.9</v>
      </c>
      <c r="F130" s="2">
        <v>18.3</v>
      </c>
      <c r="G130" s="2">
        <v>19</v>
      </c>
      <c r="H130" s="2">
        <v>57</v>
      </c>
      <c r="I130" s="2">
        <v>39.6</v>
      </c>
      <c r="J130" s="2">
        <v>44</v>
      </c>
      <c r="K130" s="2">
        <v>35</v>
      </c>
      <c r="L130" s="2">
        <v>282</v>
      </c>
      <c r="M130" s="2">
        <v>1</v>
      </c>
      <c r="N130" s="2">
        <v>0</v>
      </c>
      <c r="O130" s="2">
        <v>2</v>
      </c>
      <c r="P130" s="2">
        <v>0</v>
      </c>
      <c r="Q130" s="2">
        <v>0</v>
      </c>
      <c r="R130" s="2">
        <v>11</v>
      </c>
      <c r="S130" s="2">
        <v>3</v>
      </c>
      <c r="T130" s="2">
        <v>0</v>
      </c>
      <c r="U130" s="2">
        <v>0</v>
      </c>
      <c r="V130" s="2">
        <v>0</v>
      </c>
      <c r="W130" s="2">
        <v>0</v>
      </c>
      <c r="X130" s="2">
        <v>10</v>
      </c>
      <c r="Y130">
        <f t="shared" si="2"/>
        <v>6</v>
      </c>
      <c r="Z130">
        <f t="shared" si="3"/>
        <v>3.5</v>
      </c>
    </row>
    <row r="131" spans="1:26" x14ac:dyDescent="0.25">
      <c r="A131" t="s">
        <v>159</v>
      </c>
      <c r="B131" s="7">
        <v>30</v>
      </c>
      <c r="C131" s="8" t="s">
        <v>19</v>
      </c>
      <c r="D131" s="8" t="s">
        <v>27</v>
      </c>
      <c r="E131" s="2">
        <v>8</v>
      </c>
      <c r="F131" s="2">
        <v>15</v>
      </c>
      <c r="G131" s="2">
        <v>23</v>
      </c>
      <c r="H131" s="2">
        <v>10</v>
      </c>
      <c r="I131" s="2">
        <v>37</v>
      </c>
      <c r="J131" s="2">
        <v>43.2</v>
      </c>
      <c r="K131" s="2">
        <v>42</v>
      </c>
      <c r="L131" s="2">
        <v>497</v>
      </c>
      <c r="M131" s="2">
        <v>2</v>
      </c>
      <c r="N131" s="2">
        <v>0</v>
      </c>
      <c r="O131" s="2">
        <v>0</v>
      </c>
      <c r="P131" s="2">
        <v>0</v>
      </c>
      <c r="Q131" s="2">
        <v>0</v>
      </c>
      <c r="R131" s="2">
        <v>5</v>
      </c>
      <c r="S131" s="2">
        <v>1</v>
      </c>
      <c r="T131" s="2">
        <v>0</v>
      </c>
      <c r="U131" s="2">
        <v>1</v>
      </c>
      <c r="V131" s="2">
        <v>0</v>
      </c>
      <c r="W131" s="2">
        <v>0</v>
      </c>
      <c r="X131" s="2">
        <v>4</v>
      </c>
      <c r="Y131">
        <f t="shared" ref="Y131:Y194" si="4">SUM(M131:Q131,S131:W131)</f>
        <v>4</v>
      </c>
      <c r="Z131">
        <f t="shared" ref="Z131:Z194" si="5">(R131+X131) / (SUM(M131:Q131) + (SUM(S131:W131)))</f>
        <v>2.25</v>
      </c>
    </row>
    <row r="132" spans="1:26" x14ac:dyDescent="0.25">
      <c r="A132" t="s">
        <v>160</v>
      </c>
      <c r="B132" s="7">
        <v>31</v>
      </c>
      <c r="C132" s="8" t="s">
        <v>19</v>
      </c>
      <c r="D132" s="8" t="s">
        <v>27</v>
      </c>
      <c r="E132" s="2">
        <v>9.1</v>
      </c>
      <c r="F132" s="2">
        <v>24</v>
      </c>
      <c r="G132" s="2">
        <v>38</v>
      </c>
      <c r="H132" s="2">
        <v>196</v>
      </c>
      <c r="I132" s="2">
        <v>62</v>
      </c>
      <c r="J132" s="2">
        <v>74</v>
      </c>
      <c r="K132" s="2">
        <v>42</v>
      </c>
      <c r="L132" s="2">
        <v>574</v>
      </c>
      <c r="M132" s="2">
        <v>4</v>
      </c>
      <c r="N132" s="2">
        <v>0</v>
      </c>
      <c r="O132" s="2">
        <v>0</v>
      </c>
      <c r="P132" s="2">
        <v>0</v>
      </c>
      <c r="Q132" s="2">
        <v>0</v>
      </c>
      <c r="R132" s="2">
        <v>11</v>
      </c>
      <c r="S132" s="2">
        <v>1</v>
      </c>
      <c r="T132" s="2">
        <v>0</v>
      </c>
      <c r="U132" s="2">
        <v>10</v>
      </c>
      <c r="V132" s="2">
        <v>0</v>
      </c>
      <c r="W132" s="2">
        <v>0</v>
      </c>
      <c r="X132" s="2">
        <v>69</v>
      </c>
      <c r="Y132">
        <f t="shared" si="4"/>
        <v>15</v>
      </c>
      <c r="Z132">
        <f t="shared" si="5"/>
        <v>5.333333333333333</v>
      </c>
    </row>
    <row r="133" spans="1:26" x14ac:dyDescent="0.25">
      <c r="A133" t="s">
        <v>161</v>
      </c>
      <c r="B133" s="7">
        <v>32</v>
      </c>
      <c r="C133" s="8" t="s">
        <v>19</v>
      </c>
      <c r="D133" s="8" t="s">
        <v>27</v>
      </c>
      <c r="E133" s="2">
        <v>8.9</v>
      </c>
      <c r="F133" s="2">
        <v>13.9</v>
      </c>
      <c r="G133" s="2">
        <v>18</v>
      </c>
      <c r="H133" s="2">
        <v>32</v>
      </c>
      <c r="I133" s="2">
        <v>35</v>
      </c>
      <c r="J133" s="2">
        <v>45.1</v>
      </c>
      <c r="K133" s="2">
        <v>36</v>
      </c>
      <c r="L133" s="2">
        <v>618</v>
      </c>
      <c r="M133" s="2">
        <v>1</v>
      </c>
      <c r="N133" s="2">
        <v>0</v>
      </c>
      <c r="O133" s="2">
        <v>1</v>
      </c>
      <c r="P133" s="2">
        <v>0</v>
      </c>
      <c r="Q133" s="2">
        <v>0</v>
      </c>
      <c r="R133" s="2">
        <v>8</v>
      </c>
      <c r="S133" s="2">
        <v>0</v>
      </c>
      <c r="T133" s="2">
        <v>0</v>
      </c>
      <c r="U133" s="2">
        <v>0</v>
      </c>
      <c r="V133" s="2">
        <v>0</v>
      </c>
      <c r="W133" s="2">
        <v>2</v>
      </c>
      <c r="X133" s="2">
        <v>8</v>
      </c>
      <c r="Y133">
        <f t="shared" si="4"/>
        <v>4</v>
      </c>
      <c r="Z133">
        <f t="shared" si="5"/>
        <v>4</v>
      </c>
    </row>
    <row r="134" spans="1:26" x14ac:dyDescent="0.25">
      <c r="A134" t="s">
        <v>162</v>
      </c>
      <c r="B134" s="7">
        <v>33</v>
      </c>
      <c r="C134" s="8" t="s">
        <v>19</v>
      </c>
      <c r="D134" s="8" t="s">
        <v>27</v>
      </c>
      <c r="E134" s="2">
        <v>13.2</v>
      </c>
      <c r="F134" s="2">
        <v>18.600000000000001</v>
      </c>
      <c r="G134" s="2">
        <v>32</v>
      </c>
      <c r="H134" s="2">
        <v>79</v>
      </c>
      <c r="I134" s="2">
        <v>54</v>
      </c>
      <c r="J134" s="2">
        <v>62</v>
      </c>
      <c r="K134" s="2">
        <v>39</v>
      </c>
      <c r="L134" s="2">
        <v>527</v>
      </c>
      <c r="M134" s="2">
        <v>1</v>
      </c>
      <c r="N134" s="2">
        <v>0</v>
      </c>
      <c r="O134" s="2">
        <v>1</v>
      </c>
      <c r="P134" s="2">
        <v>0</v>
      </c>
      <c r="Q134" s="2">
        <v>0</v>
      </c>
      <c r="R134" s="2">
        <v>4</v>
      </c>
      <c r="S134" s="2">
        <v>2</v>
      </c>
      <c r="T134" s="2">
        <v>0</v>
      </c>
      <c r="U134" s="2">
        <v>4</v>
      </c>
      <c r="V134" s="2">
        <v>1</v>
      </c>
      <c r="W134" s="2">
        <v>1</v>
      </c>
      <c r="X134" s="2">
        <v>30</v>
      </c>
      <c r="Y134">
        <f t="shared" si="4"/>
        <v>10</v>
      </c>
      <c r="Z134">
        <f t="shared" si="5"/>
        <v>3.4</v>
      </c>
    </row>
    <row r="135" spans="1:26" x14ac:dyDescent="0.25">
      <c r="A135" t="s">
        <v>163</v>
      </c>
      <c r="B135" s="7">
        <v>34</v>
      </c>
      <c r="C135" s="8" t="s">
        <v>19</v>
      </c>
      <c r="D135" s="8" t="s">
        <v>27</v>
      </c>
      <c r="E135" s="2">
        <v>11.5</v>
      </c>
      <c r="F135" s="2">
        <v>15.1</v>
      </c>
      <c r="G135" s="2">
        <v>67</v>
      </c>
      <c r="H135" s="2">
        <v>89</v>
      </c>
      <c r="I135" s="2">
        <v>49</v>
      </c>
      <c r="J135" s="2">
        <v>58</v>
      </c>
      <c r="K135" s="2">
        <v>40</v>
      </c>
      <c r="L135" s="2">
        <v>1483</v>
      </c>
      <c r="M135" s="2">
        <v>2</v>
      </c>
      <c r="N135" s="2">
        <v>0</v>
      </c>
      <c r="O135" s="2">
        <v>4</v>
      </c>
      <c r="P135" s="2">
        <v>1</v>
      </c>
      <c r="Q135" s="2">
        <v>0</v>
      </c>
      <c r="R135" s="2">
        <v>24</v>
      </c>
      <c r="S135" s="2"/>
      <c r="T135" s="2"/>
      <c r="U135" s="2"/>
      <c r="V135" s="2"/>
      <c r="W135" s="2"/>
      <c r="X135" s="2"/>
      <c r="Y135">
        <f t="shared" si="4"/>
        <v>7</v>
      </c>
      <c r="Z135">
        <f t="shared" si="5"/>
        <v>3.4285714285714284</v>
      </c>
    </row>
    <row r="136" spans="1:26" x14ac:dyDescent="0.25">
      <c r="A136" t="s">
        <v>164</v>
      </c>
      <c r="B136" s="7">
        <v>35</v>
      </c>
      <c r="C136" s="8" t="s">
        <v>19</v>
      </c>
      <c r="D136" s="8" t="s">
        <v>27</v>
      </c>
      <c r="E136" s="2">
        <v>12.6</v>
      </c>
      <c r="F136" s="2">
        <v>23.8</v>
      </c>
      <c r="G136" s="2">
        <v>49</v>
      </c>
      <c r="H136" s="2"/>
      <c r="I136" s="2">
        <v>57</v>
      </c>
      <c r="J136" s="2"/>
      <c r="K136" s="2">
        <v>43</v>
      </c>
      <c r="L136" s="2"/>
      <c r="M136" s="2">
        <v>1</v>
      </c>
      <c r="N136" s="2">
        <v>1</v>
      </c>
      <c r="O136" s="2">
        <v>1</v>
      </c>
      <c r="P136" s="2">
        <v>0</v>
      </c>
      <c r="Q136" s="2">
        <v>1</v>
      </c>
      <c r="R136" s="2">
        <v>15</v>
      </c>
      <c r="S136" s="2"/>
      <c r="T136" s="2"/>
      <c r="U136" s="2"/>
      <c r="V136" s="2"/>
      <c r="W136" s="2"/>
      <c r="X136" s="2"/>
      <c r="Y136">
        <f t="shared" si="4"/>
        <v>4</v>
      </c>
      <c r="Z136">
        <f t="shared" si="5"/>
        <v>3.75</v>
      </c>
    </row>
    <row r="137" spans="1:26" x14ac:dyDescent="0.25">
      <c r="A137" t="s">
        <v>165</v>
      </c>
      <c r="B137" s="7">
        <v>36</v>
      </c>
      <c r="C137" s="8" t="s">
        <v>19</v>
      </c>
      <c r="D137" s="8" t="s">
        <v>27</v>
      </c>
      <c r="E137" s="2">
        <v>7.4</v>
      </c>
      <c r="F137" s="2">
        <v>19.100000000000001</v>
      </c>
      <c r="G137" s="2"/>
      <c r="H137" s="2">
        <v>109</v>
      </c>
      <c r="I137" s="2"/>
      <c r="J137" s="2">
        <v>53.5</v>
      </c>
      <c r="K137" s="2">
        <v>41</v>
      </c>
      <c r="L137" s="2">
        <v>86</v>
      </c>
      <c r="M137" s="2"/>
      <c r="N137" s="2"/>
      <c r="O137" s="2"/>
      <c r="P137" s="2"/>
      <c r="Q137" s="2"/>
      <c r="R137" s="2"/>
      <c r="S137" s="2">
        <v>0</v>
      </c>
      <c r="T137" s="2">
        <v>0</v>
      </c>
      <c r="U137" s="2">
        <v>2</v>
      </c>
      <c r="V137" s="2">
        <v>0</v>
      </c>
      <c r="W137" s="2">
        <v>1</v>
      </c>
      <c r="X137" s="2">
        <v>9</v>
      </c>
      <c r="Y137">
        <f t="shared" si="4"/>
        <v>3</v>
      </c>
      <c r="Z137">
        <f t="shared" si="5"/>
        <v>3</v>
      </c>
    </row>
    <row r="138" spans="1:26" x14ac:dyDescent="0.25">
      <c r="A138" t="s">
        <v>166</v>
      </c>
      <c r="B138" s="7">
        <v>37</v>
      </c>
      <c r="C138" s="8" t="s">
        <v>19</v>
      </c>
      <c r="D138" s="8" t="s">
        <v>27</v>
      </c>
      <c r="E138" s="2">
        <v>7.5</v>
      </c>
      <c r="F138" s="2"/>
      <c r="G138" s="2"/>
      <c r="H138" s="2"/>
      <c r="I138" s="2"/>
      <c r="J138" s="2"/>
      <c r="K138" s="2">
        <v>41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>
        <f t="shared" si="4"/>
        <v>0</v>
      </c>
      <c r="Z138" t="e">
        <f t="shared" si="5"/>
        <v>#DIV/0!</v>
      </c>
    </row>
    <row r="139" spans="1:26" x14ac:dyDescent="0.25">
      <c r="A139" t="s">
        <v>167</v>
      </c>
      <c r="B139" s="7">
        <v>38</v>
      </c>
      <c r="C139" s="8" t="s">
        <v>19</v>
      </c>
      <c r="D139" s="8" t="s">
        <v>27</v>
      </c>
      <c r="E139" s="2">
        <v>7.5</v>
      </c>
      <c r="F139" s="2">
        <v>19.399999999999999</v>
      </c>
      <c r="G139" s="2"/>
      <c r="H139" s="2">
        <v>98</v>
      </c>
      <c r="I139" s="2"/>
      <c r="J139" s="2">
        <v>48</v>
      </c>
      <c r="K139" s="2">
        <v>41</v>
      </c>
      <c r="L139" s="2">
        <v>89</v>
      </c>
      <c r="M139" s="2"/>
      <c r="N139" s="2"/>
      <c r="O139" s="2"/>
      <c r="P139" s="2"/>
      <c r="Q139" s="2"/>
      <c r="R139" s="2"/>
      <c r="S139" s="2">
        <v>2</v>
      </c>
      <c r="T139" s="2">
        <v>3</v>
      </c>
      <c r="U139" s="2">
        <v>6</v>
      </c>
      <c r="V139" s="2">
        <v>0</v>
      </c>
      <c r="W139" s="2">
        <v>0</v>
      </c>
      <c r="X139" s="2">
        <v>76</v>
      </c>
      <c r="Y139">
        <f t="shared" si="4"/>
        <v>11</v>
      </c>
      <c r="Z139">
        <f t="shared" si="5"/>
        <v>6.9090909090909092</v>
      </c>
    </row>
    <row r="140" spans="1:26" x14ac:dyDescent="0.25">
      <c r="A140" t="s">
        <v>168</v>
      </c>
      <c r="B140" s="7">
        <v>39</v>
      </c>
      <c r="C140" s="8" t="s">
        <v>19</v>
      </c>
      <c r="D140" s="8" t="s">
        <v>27</v>
      </c>
      <c r="E140" s="2">
        <v>9.8000000000000007</v>
      </c>
      <c r="F140" s="2">
        <v>19.3</v>
      </c>
      <c r="G140" s="2">
        <v>100</v>
      </c>
      <c r="H140" s="2">
        <v>96</v>
      </c>
      <c r="I140" s="2">
        <v>49</v>
      </c>
      <c r="J140" s="2">
        <v>51</v>
      </c>
      <c r="K140" s="2">
        <v>48</v>
      </c>
      <c r="L140" s="2">
        <v>72</v>
      </c>
      <c r="M140" s="2">
        <v>3</v>
      </c>
      <c r="N140" s="2">
        <v>0</v>
      </c>
      <c r="O140" s="2">
        <v>6</v>
      </c>
      <c r="P140" s="2">
        <v>2</v>
      </c>
      <c r="Q140" s="2">
        <v>0</v>
      </c>
      <c r="R140" s="2">
        <v>43</v>
      </c>
      <c r="S140" s="2">
        <v>0</v>
      </c>
      <c r="T140" s="2">
        <v>1</v>
      </c>
      <c r="U140" s="2">
        <v>3</v>
      </c>
      <c r="V140" s="2">
        <v>0</v>
      </c>
      <c r="W140" s="2">
        <v>0</v>
      </c>
      <c r="X140" s="2">
        <v>16</v>
      </c>
      <c r="Y140">
        <f t="shared" si="4"/>
        <v>15</v>
      </c>
      <c r="Z140">
        <f t="shared" si="5"/>
        <v>3.9333333333333331</v>
      </c>
    </row>
    <row r="141" spans="1:26" x14ac:dyDescent="0.25">
      <c r="A141" t="s">
        <v>169</v>
      </c>
      <c r="B141" s="7">
        <v>40</v>
      </c>
      <c r="C141" s="8" t="s">
        <v>19</v>
      </c>
      <c r="D141" s="8" t="s">
        <v>27</v>
      </c>
      <c r="E141" s="2">
        <v>9.5</v>
      </c>
      <c r="F141" s="2">
        <v>19.5</v>
      </c>
      <c r="G141" s="2">
        <v>39</v>
      </c>
      <c r="H141" s="2">
        <v>48</v>
      </c>
      <c r="I141" s="2">
        <v>46</v>
      </c>
      <c r="J141" s="2">
        <v>47</v>
      </c>
      <c r="K141" s="2">
        <v>41</v>
      </c>
      <c r="L141" s="2">
        <v>813</v>
      </c>
      <c r="M141" s="2">
        <v>5</v>
      </c>
      <c r="N141" s="2">
        <v>0</v>
      </c>
      <c r="O141" s="2">
        <v>2</v>
      </c>
      <c r="P141" s="2">
        <v>1</v>
      </c>
      <c r="Q141" s="2">
        <v>0</v>
      </c>
      <c r="R141" s="2">
        <v>28</v>
      </c>
      <c r="S141" s="2">
        <v>2</v>
      </c>
      <c r="T141" s="2">
        <v>0</v>
      </c>
      <c r="U141" s="2">
        <v>4</v>
      </c>
      <c r="V141" s="2">
        <v>0</v>
      </c>
      <c r="W141" s="2">
        <v>0</v>
      </c>
      <c r="X141" s="2">
        <v>38</v>
      </c>
      <c r="Y141">
        <f t="shared" si="4"/>
        <v>14</v>
      </c>
      <c r="Z141">
        <f t="shared" si="5"/>
        <v>4.7142857142857144</v>
      </c>
    </row>
    <row r="142" spans="1:26" x14ac:dyDescent="0.25">
      <c r="A142" t="s">
        <v>170</v>
      </c>
      <c r="B142" s="7">
        <v>21</v>
      </c>
      <c r="C142" s="8" t="s">
        <v>22</v>
      </c>
      <c r="D142" s="8" t="s">
        <v>27</v>
      </c>
      <c r="E142" s="2">
        <v>14.5</v>
      </c>
      <c r="F142" s="2">
        <v>19.100000000000001</v>
      </c>
      <c r="G142" s="2">
        <v>38</v>
      </c>
      <c r="H142" s="2">
        <v>68</v>
      </c>
      <c r="I142" s="2">
        <v>59.8</v>
      </c>
      <c r="J142" s="2">
        <v>70</v>
      </c>
      <c r="K142" s="2">
        <v>40</v>
      </c>
      <c r="L142" s="2">
        <v>310</v>
      </c>
      <c r="M142" s="2">
        <v>2</v>
      </c>
      <c r="N142" s="2">
        <v>0</v>
      </c>
      <c r="O142" s="2">
        <v>0</v>
      </c>
      <c r="P142" s="2">
        <v>0</v>
      </c>
      <c r="Q142" s="2">
        <v>0</v>
      </c>
      <c r="R142" s="2">
        <v>13</v>
      </c>
      <c r="S142" s="2"/>
      <c r="T142" s="2"/>
      <c r="U142" s="2"/>
      <c r="V142" s="2"/>
      <c r="W142" s="2"/>
      <c r="X142" s="2"/>
      <c r="Y142">
        <f t="shared" si="4"/>
        <v>2</v>
      </c>
      <c r="Z142">
        <f t="shared" si="5"/>
        <v>6.5</v>
      </c>
    </row>
    <row r="143" spans="1:26" x14ac:dyDescent="0.25">
      <c r="A143" t="s">
        <v>171</v>
      </c>
      <c r="B143" s="7">
        <v>22</v>
      </c>
      <c r="C143" s="8" t="s">
        <v>22</v>
      </c>
      <c r="D143" s="8" t="s">
        <v>27</v>
      </c>
      <c r="E143" s="2">
        <v>8.3000000000000007</v>
      </c>
      <c r="F143" s="2">
        <v>16.600000000000001</v>
      </c>
      <c r="G143" s="2">
        <v>29</v>
      </c>
      <c r="H143" s="2">
        <v>34</v>
      </c>
      <c r="I143" s="2">
        <v>46</v>
      </c>
      <c r="J143" s="2">
        <v>51</v>
      </c>
      <c r="K143" s="2">
        <v>43</v>
      </c>
      <c r="L143" s="2">
        <v>1230</v>
      </c>
      <c r="M143" s="2">
        <v>1</v>
      </c>
      <c r="N143" s="2">
        <v>0</v>
      </c>
      <c r="O143" s="2">
        <v>1</v>
      </c>
      <c r="P143" s="2">
        <v>0</v>
      </c>
      <c r="Q143" s="2">
        <v>0</v>
      </c>
      <c r="R143" s="2">
        <v>9</v>
      </c>
      <c r="S143" s="2">
        <v>1</v>
      </c>
      <c r="T143" s="2">
        <v>0</v>
      </c>
      <c r="U143" s="2">
        <v>3</v>
      </c>
      <c r="V143" s="2">
        <v>0</v>
      </c>
      <c r="W143" s="2">
        <v>0</v>
      </c>
      <c r="X143" s="2">
        <v>7</v>
      </c>
      <c r="Y143">
        <f t="shared" si="4"/>
        <v>6</v>
      </c>
      <c r="Z143">
        <f t="shared" si="5"/>
        <v>2.6666666666666665</v>
      </c>
    </row>
    <row r="144" spans="1:26" x14ac:dyDescent="0.25">
      <c r="A144" t="s">
        <v>172</v>
      </c>
      <c r="B144" s="7">
        <v>23</v>
      </c>
      <c r="C144" s="8" t="s">
        <v>22</v>
      </c>
      <c r="D144" s="8" t="s">
        <v>27</v>
      </c>
      <c r="E144" s="2">
        <v>11.6</v>
      </c>
      <c r="F144" s="2">
        <v>16.3</v>
      </c>
      <c r="G144" s="2">
        <v>47</v>
      </c>
      <c r="H144" s="2">
        <v>14</v>
      </c>
      <c r="I144" s="2"/>
      <c r="J144" s="2">
        <v>55.8</v>
      </c>
      <c r="K144" s="2">
        <v>39</v>
      </c>
      <c r="L144" s="2">
        <v>655</v>
      </c>
      <c r="M144" s="2">
        <v>6</v>
      </c>
      <c r="N144" s="2">
        <v>0</v>
      </c>
      <c r="O144" s="2">
        <v>0</v>
      </c>
      <c r="P144" s="2">
        <v>0</v>
      </c>
      <c r="Q144" s="2">
        <v>0</v>
      </c>
      <c r="R144" s="2">
        <v>21</v>
      </c>
      <c r="S144" s="2"/>
      <c r="T144" s="2"/>
      <c r="U144" s="2"/>
      <c r="V144" s="2"/>
      <c r="W144" s="2"/>
      <c r="X144" s="2"/>
      <c r="Y144">
        <f t="shared" si="4"/>
        <v>6</v>
      </c>
      <c r="Z144">
        <f t="shared" si="5"/>
        <v>3.5</v>
      </c>
    </row>
    <row r="145" spans="1:26" x14ac:dyDescent="0.25">
      <c r="A145" t="s">
        <v>173</v>
      </c>
      <c r="B145" s="7">
        <v>24</v>
      </c>
      <c r="C145" s="8" t="s">
        <v>22</v>
      </c>
      <c r="D145" s="8" t="s">
        <v>27</v>
      </c>
      <c r="E145" s="2">
        <v>19.100000000000001</v>
      </c>
      <c r="F145" s="2">
        <v>24.4</v>
      </c>
      <c r="G145" s="2">
        <v>42</v>
      </c>
      <c r="H145" s="2">
        <v>103</v>
      </c>
      <c r="I145" s="2">
        <v>49.5</v>
      </c>
      <c r="J145" s="2">
        <v>67.599999999999994</v>
      </c>
      <c r="K145" s="2">
        <v>33</v>
      </c>
      <c r="L145" s="2">
        <v>1993</v>
      </c>
      <c r="M145" s="2">
        <v>2</v>
      </c>
      <c r="N145" s="2">
        <v>0</v>
      </c>
      <c r="O145" s="2">
        <v>3</v>
      </c>
      <c r="P145" s="2">
        <v>0</v>
      </c>
      <c r="Q145" s="2">
        <v>0</v>
      </c>
      <c r="R145" s="2">
        <v>29</v>
      </c>
      <c r="S145" s="2">
        <v>8</v>
      </c>
      <c r="T145" s="2">
        <v>0</v>
      </c>
      <c r="U145" s="2">
        <v>2</v>
      </c>
      <c r="V145" s="2">
        <v>2</v>
      </c>
      <c r="W145" s="2">
        <v>2</v>
      </c>
      <c r="X145" s="2">
        <v>39</v>
      </c>
      <c r="Y145">
        <f t="shared" si="4"/>
        <v>19</v>
      </c>
      <c r="Z145">
        <f t="shared" si="5"/>
        <v>3.5789473684210527</v>
      </c>
    </row>
    <row r="146" spans="1:26" x14ac:dyDescent="0.25">
      <c r="A146" t="s">
        <v>174</v>
      </c>
      <c r="B146" s="7">
        <v>25</v>
      </c>
      <c r="C146" s="8" t="s">
        <v>22</v>
      </c>
      <c r="D146" s="8" t="s">
        <v>27</v>
      </c>
      <c r="E146" s="2">
        <v>9.1</v>
      </c>
      <c r="F146" s="2">
        <v>14.1</v>
      </c>
      <c r="G146" s="2">
        <v>43</v>
      </c>
      <c r="H146" s="2">
        <v>32</v>
      </c>
      <c r="I146" s="2">
        <v>46.7</v>
      </c>
      <c r="J146" s="2">
        <v>51.4</v>
      </c>
      <c r="K146" s="2">
        <v>41</v>
      </c>
      <c r="L146" s="2">
        <v>1132</v>
      </c>
      <c r="M146" s="2">
        <v>2</v>
      </c>
      <c r="N146" s="2">
        <v>0</v>
      </c>
      <c r="O146" s="2">
        <v>0</v>
      </c>
      <c r="P146" s="2">
        <v>0</v>
      </c>
      <c r="Q146" s="2">
        <v>0</v>
      </c>
      <c r="R146" s="2">
        <v>5</v>
      </c>
      <c r="S146" s="2">
        <v>2</v>
      </c>
      <c r="T146" s="2">
        <v>0</v>
      </c>
      <c r="U146" s="2">
        <v>0</v>
      </c>
      <c r="V146" s="2">
        <v>0</v>
      </c>
      <c r="W146" s="2">
        <v>0</v>
      </c>
      <c r="X146" s="2">
        <v>6</v>
      </c>
      <c r="Y146">
        <f t="shared" si="4"/>
        <v>4</v>
      </c>
      <c r="Z146">
        <f t="shared" si="5"/>
        <v>2.75</v>
      </c>
    </row>
    <row r="147" spans="1:26" x14ac:dyDescent="0.25">
      <c r="A147" t="s">
        <v>175</v>
      </c>
      <c r="B147" s="7">
        <v>26</v>
      </c>
      <c r="C147" s="8" t="s">
        <v>22</v>
      </c>
      <c r="D147" s="8" t="s">
        <v>27</v>
      </c>
      <c r="E147" s="2">
        <v>4.9000000000000004</v>
      </c>
      <c r="F147" s="2">
        <v>10.199999999999999</v>
      </c>
      <c r="G147" s="2">
        <v>22</v>
      </c>
      <c r="H147" s="2"/>
      <c r="I147" s="2">
        <v>34</v>
      </c>
      <c r="J147" s="2"/>
      <c r="K147" s="2">
        <v>48</v>
      </c>
      <c r="L147" s="2"/>
      <c r="M147" s="2">
        <v>3</v>
      </c>
      <c r="N147" s="2">
        <v>0</v>
      </c>
      <c r="O147" s="2">
        <v>0</v>
      </c>
      <c r="P147" s="2">
        <v>1</v>
      </c>
      <c r="Q147" s="2">
        <v>0</v>
      </c>
      <c r="R147" s="2">
        <v>14</v>
      </c>
      <c r="S147" s="2"/>
      <c r="T147" s="2"/>
      <c r="U147" s="2"/>
      <c r="V147" s="2"/>
      <c r="W147" s="2"/>
      <c r="X147" s="2"/>
      <c r="Y147">
        <f t="shared" si="4"/>
        <v>4</v>
      </c>
      <c r="Z147">
        <f t="shared" si="5"/>
        <v>3.5</v>
      </c>
    </row>
    <row r="148" spans="1:26" x14ac:dyDescent="0.25">
      <c r="A148" t="s">
        <v>176</v>
      </c>
      <c r="B148" s="7">
        <v>27</v>
      </c>
      <c r="C148" s="8" t="s">
        <v>22</v>
      </c>
      <c r="D148" s="8" t="s">
        <v>27</v>
      </c>
      <c r="E148" s="2">
        <v>10</v>
      </c>
      <c r="F148" s="2">
        <v>18.399999999999999</v>
      </c>
      <c r="G148" s="2">
        <v>15</v>
      </c>
      <c r="H148" s="2">
        <v>49</v>
      </c>
      <c r="I148" s="2">
        <v>35</v>
      </c>
      <c r="J148" s="2">
        <v>50</v>
      </c>
      <c r="K148" s="2">
        <v>34</v>
      </c>
      <c r="L148" s="2">
        <v>521</v>
      </c>
      <c r="M148" s="2"/>
      <c r="N148" s="2"/>
      <c r="O148" s="2"/>
      <c r="P148" s="2"/>
      <c r="Q148" s="2"/>
      <c r="R148" s="2"/>
      <c r="S148" s="2">
        <v>6</v>
      </c>
      <c r="T148" s="2">
        <v>1</v>
      </c>
      <c r="U148" s="2">
        <v>0</v>
      </c>
      <c r="V148" s="2">
        <v>0</v>
      </c>
      <c r="W148" s="2">
        <v>0</v>
      </c>
      <c r="X148" s="2">
        <v>26</v>
      </c>
      <c r="Y148">
        <f t="shared" si="4"/>
        <v>7</v>
      </c>
      <c r="Z148">
        <f t="shared" si="5"/>
        <v>3.7142857142857144</v>
      </c>
    </row>
    <row r="149" spans="1:26" x14ac:dyDescent="0.25">
      <c r="A149" t="s">
        <v>177</v>
      </c>
      <c r="B149" s="7">
        <v>28</v>
      </c>
      <c r="C149" s="8" t="s">
        <v>22</v>
      </c>
      <c r="D149" s="8" t="s">
        <v>27</v>
      </c>
      <c r="E149" s="2">
        <v>14.7</v>
      </c>
      <c r="F149" s="2">
        <v>27.7</v>
      </c>
      <c r="G149" s="2">
        <v>40</v>
      </c>
      <c r="H149" s="2">
        <v>174</v>
      </c>
      <c r="I149" s="2">
        <v>58</v>
      </c>
      <c r="J149" s="2">
        <v>67</v>
      </c>
      <c r="K149" s="2">
        <v>37</v>
      </c>
      <c r="L149" s="2">
        <v>14121</v>
      </c>
      <c r="M149" s="2">
        <v>1</v>
      </c>
      <c r="N149" s="2">
        <v>0</v>
      </c>
      <c r="O149" s="2">
        <v>1</v>
      </c>
      <c r="P149" s="2">
        <v>0</v>
      </c>
      <c r="Q149" s="2">
        <v>0</v>
      </c>
      <c r="R149" s="2">
        <v>7</v>
      </c>
      <c r="S149" s="2">
        <v>7</v>
      </c>
      <c r="T149" s="2">
        <v>0</v>
      </c>
      <c r="U149" s="2">
        <v>1</v>
      </c>
      <c r="V149" s="2">
        <v>1</v>
      </c>
      <c r="W149" s="2">
        <v>0</v>
      </c>
      <c r="X149" s="2">
        <v>30</v>
      </c>
      <c r="Y149">
        <f t="shared" si="4"/>
        <v>11</v>
      </c>
      <c r="Z149">
        <f t="shared" si="5"/>
        <v>3.3636363636363638</v>
      </c>
    </row>
    <row r="150" spans="1:26" x14ac:dyDescent="0.25">
      <c r="A150" t="s">
        <v>178</v>
      </c>
      <c r="B150" s="7">
        <v>29</v>
      </c>
      <c r="C150" s="8" t="s">
        <v>22</v>
      </c>
      <c r="D150" s="8" t="s">
        <v>27</v>
      </c>
      <c r="E150" s="2">
        <v>10.199999999999999</v>
      </c>
      <c r="F150" s="2">
        <v>28.7</v>
      </c>
      <c r="G150" s="2">
        <v>29</v>
      </c>
      <c r="H150" s="2">
        <v>67</v>
      </c>
      <c r="I150" s="2">
        <v>55.8</v>
      </c>
      <c r="J150" s="2">
        <v>65.099999999999994</v>
      </c>
      <c r="K150" s="2">
        <v>41</v>
      </c>
      <c r="L150" s="2">
        <v>549</v>
      </c>
      <c r="M150" s="2">
        <v>4</v>
      </c>
      <c r="N150" s="2">
        <v>0</v>
      </c>
      <c r="O150" s="2">
        <v>2</v>
      </c>
      <c r="P150" s="2">
        <v>0</v>
      </c>
      <c r="Q150" s="2">
        <v>0</v>
      </c>
      <c r="R150" s="2">
        <v>16</v>
      </c>
      <c r="S150" s="2">
        <v>1</v>
      </c>
      <c r="T150" s="2">
        <v>0</v>
      </c>
      <c r="U150" s="2">
        <v>1</v>
      </c>
      <c r="V150" s="2">
        <v>0</v>
      </c>
      <c r="W150" s="2">
        <v>0</v>
      </c>
      <c r="X150" s="2">
        <v>7</v>
      </c>
      <c r="Y150">
        <f t="shared" si="4"/>
        <v>8</v>
      </c>
      <c r="Z150">
        <f t="shared" si="5"/>
        <v>2.875</v>
      </c>
    </row>
    <row r="151" spans="1:26" x14ac:dyDescent="0.25">
      <c r="A151" t="s">
        <v>179</v>
      </c>
      <c r="B151" s="7">
        <v>30</v>
      </c>
      <c r="C151" s="8" t="s">
        <v>22</v>
      </c>
      <c r="D151" s="8" t="s">
        <v>27</v>
      </c>
      <c r="E151" s="2">
        <v>15</v>
      </c>
      <c r="F151" s="2">
        <v>23.2</v>
      </c>
      <c r="G151" s="2">
        <v>75</v>
      </c>
      <c r="H151" s="2">
        <v>116</v>
      </c>
      <c r="I151" s="2" t="s">
        <v>21</v>
      </c>
      <c r="J151" s="2">
        <v>58</v>
      </c>
      <c r="K151" s="2">
        <v>40</v>
      </c>
      <c r="L151" s="2">
        <v>188</v>
      </c>
      <c r="M151" s="2">
        <v>8</v>
      </c>
      <c r="N151" s="2">
        <v>0</v>
      </c>
      <c r="O151" s="2">
        <v>0</v>
      </c>
      <c r="P151" s="2">
        <v>0</v>
      </c>
      <c r="Q151" s="2">
        <v>1</v>
      </c>
      <c r="R151" s="2">
        <v>40</v>
      </c>
      <c r="S151" s="2"/>
      <c r="T151" s="2"/>
      <c r="U151" s="2"/>
      <c r="V151" s="2"/>
      <c r="W151" s="2"/>
      <c r="X151" s="2"/>
      <c r="Y151">
        <f t="shared" si="4"/>
        <v>9</v>
      </c>
      <c r="Z151">
        <f t="shared" si="5"/>
        <v>4.4444444444444446</v>
      </c>
    </row>
    <row r="152" spans="1:26" x14ac:dyDescent="0.25">
      <c r="A152" t="s">
        <v>180</v>
      </c>
      <c r="B152" s="7">
        <v>31</v>
      </c>
      <c r="C152" s="8" t="s">
        <v>22</v>
      </c>
      <c r="D152" s="8" t="s">
        <v>27</v>
      </c>
      <c r="E152" s="2">
        <v>10.4</v>
      </c>
      <c r="F152" s="2">
        <v>18</v>
      </c>
      <c r="G152" s="2">
        <v>10</v>
      </c>
      <c r="H152" s="2"/>
      <c r="I152" s="2">
        <v>36</v>
      </c>
      <c r="J152" s="2"/>
      <c r="K152" s="2">
        <v>37</v>
      </c>
      <c r="L152" s="2"/>
      <c r="M152" s="2">
        <v>1</v>
      </c>
      <c r="N152" s="2">
        <v>0</v>
      </c>
      <c r="O152" s="2">
        <v>0</v>
      </c>
      <c r="P152" s="2">
        <v>0</v>
      </c>
      <c r="Q152" s="2">
        <v>0</v>
      </c>
      <c r="R152" s="2">
        <v>3</v>
      </c>
      <c r="S152" s="2"/>
      <c r="T152" s="2"/>
      <c r="U152" s="2"/>
      <c r="V152" s="2"/>
      <c r="W152" s="2"/>
      <c r="X152" s="2"/>
      <c r="Y152">
        <f t="shared" si="4"/>
        <v>1</v>
      </c>
      <c r="Z152">
        <f t="shared" si="5"/>
        <v>3</v>
      </c>
    </row>
    <row r="153" spans="1:26" x14ac:dyDescent="0.25">
      <c r="A153" t="s">
        <v>181</v>
      </c>
      <c r="B153" s="7">
        <v>32</v>
      </c>
      <c r="C153" s="8" t="s">
        <v>22</v>
      </c>
      <c r="D153" s="8" t="s">
        <v>27</v>
      </c>
      <c r="E153" s="2">
        <v>8.6</v>
      </c>
      <c r="F153" s="2">
        <v>25.6</v>
      </c>
      <c r="G153" s="2"/>
      <c r="H153" s="2"/>
      <c r="I153" s="2"/>
      <c r="J153" s="2"/>
      <c r="K153" s="2">
        <v>45</v>
      </c>
      <c r="L153" s="2">
        <v>1345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>
        <f t="shared" si="4"/>
        <v>0</v>
      </c>
      <c r="Z153" t="e">
        <f t="shared" si="5"/>
        <v>#DIV/0!</v>
      </c>
    </row>
    <row r="154" spans="1:26" x14ac:dyDescent="0.25">
      <c r="A154" t="s">
        <v>182</v>
      </c>
      <c r="B154" s="7">
        <v>33</v>
      </c>
      <c r="C154" s="8" t="s">
        <v>22</v>
      </c>
      <c r="D154" s="8" t="s">
        <v>27</v>
      </c>
      <c r="E154" s="2">
        <v>9.9</v>
      </c>
      <c r="F154" s="2">
        <v>21</v>
      </c>
      <c r="G154" s="2">
        <v>28</v>
      </c>
      <c r="H154" s="2"/>
      <c r="I154" s="2">
        <v>43</v>
      </c>
      <c r="J154" s="2"/>
      <c r="K154" s="2">
        <v>37</v>
      </c>
      <c r="L154" s="2"/>
      <c r="M154" s="2">
        <v>1</v>
      </c>
      <c r="N154" s="2">
        <v>0</v>
      </c>
      <c r="O154" s="2">
        <v>1</v>
      </c>
      <c r="P154" s="2">
        <v>0</v>
      </c>
      <c r="Q154" s="2">
        <v>0</v>
      </c>
      <c r="R154" s="2">
        <v>5</v>
      </c>
      <c r="S154" s="2"/>
      <c r="T154" s="2"/>
      <c r="U154" s="2"/>
      <c r="V154" s="2"/>
      <c r="W154" s="2"/>
      <c r="X154" s="2"/>
      <c r="Y154">
        <f t="shared" si="4"/>
        <v>2</v>
      </c>
      <c r="Z154">
        <f t="shared" si="5"/>
        <v>2.5</v>
      </c>
    </row>
    <row r="155" spans="1:26" x14ac:dyDescent="0.25">
      <c r="A155" t="s">
        <v>183</v>
      </c>
      <c r="B155" s="7">
        <v>34</v>
      </c>
      <c r="C155" s="8" t="s">
        <v>22</v>
      </c>
      <c r="D155" s="8" t="s">
        <v>27</v>
      </c>
      <c r="E155" s="2">
        <v>7.5</v>
      </c>
      <c r="F155" s="2">
        <v>14.8</v>
      </c>
      <c r="G155" s="2">
        <v>32</v>
      </c>
      <c r="H155" s="2">
        <v>32</v>
      </c>
      <c r="I155" s="2">
        <v>38</v>
      </c>
      <c r="J155" s="2">
        <v>38</v>
      </c>
      <c r="K155" s="2">
        <v>46</v>
      </c>
      <c r="L155" s="2">
        <v>558</v>
      </c>
      <c r="M155" s="2">
        <v>2</v>
      </c>
      <c r="N155" s="2">
        <v>0</v>
      </c>
      <c r="O155" s="2">
        <v>1</v>
      </c>
      <c r="P155" s="2">
        <v>0</v>
      </c>
      <c r="Q155" s="2">
        <v>0</v>
      </c>
      <c r="R155" s="2">
        <v>25</v>
      </c>
      <c r="S155" s="2">
        <v>1</v>
      </c>
      <c r="T155" s="2">
        <v>1</v>
      </c>
      <c r="U155" s="2">
        <v>2</v>
      </c>
      <c r="V155" s="2">
        <v>0</v>
      </c>
      <c r="W155" s="2">
        <v>0</v>
      </c>
      <c r="X155" s="2">
        <v>11</v>
      </c>
      <c r="Y155">
        <f t="shared" si="4"/>
        <v>7</v>
      </c>
      <c r="Z155">
        <f t="shared" si="5"/>
        <v>5.1428571428571432</v>
      </c>
    </row>
    <row r="156" spans="1:26" x14ac:dyDescent="0.25">
      <c r="A156" t="s">
        <v>184</v>
      </c>
      <c r="B156" s="7">
        <v>35</v>
      </c>
      <c r="C156" s="8" t="s">
        <v>22</v>
      </c>
      <c r="D156" s="8" t="s">
        <v>27</v>
      </c>
      <c r="E156" s="2">
        <v>13.5</v>
      </c>
      <c r="F156" s="2">
        <v>22.4</v>
      </c>
      <c r="G156" s="2">
        <v>22</v>
      </c>
      <c r="H156" s="2">
        <v>43</v>
      </c>
      <c r="I156" s="2">
        <v>39.299999999999997</v>
      </c>
      <c r="J156" s="2">
        <v>45</v>
      </c>
      <c r="K156" s="2">
        <v>34</v>
      </c>
      <c r="L156" s="2">
        <v>125</v>
      </c>
      <c r="M156" s="2">
        <v>1</v>
      </c>
      <c r="N156" s="2">
        <v>0</v>
      </c>
      <c r="O156" s="2">
        <v>1</v>
      </c>
      <c r="P156" s="2">
        <v>0</v>
      </c>
      <c r="Q156" s="2">
        <v>0</v>
      </c>
      <c r="R156" s="2">
        <v>4</v>
      </c>
      <c r="S156" s="2">
        <v>3</v>
      </c>
      <c r="T156" s="2">
        <v>0</v>
      </c>
      <c r="U156" s="2">
        <v>0</v>
      </c>
      <c r="V156" s="2">
        <v>1</v>
      </c>
      <c r="W156" s="2">
        <v>0</v>
      </c>
      <c r="X156" s="2">
        <v>18</v>
      </c>
      <c r="Y156">
        <f t="shared" si="4"/>
        <v>6</v>
      </c>
      <c r="Z156">
        <f t="shared" si="5"/>
        <v>3.6666666666666665</v>
      </c>
    </row>
    <row r="157" spans="1:26" x14ac:dyDescent="0.25">
      <c r="A157" t="s">
        <v>185</v>
      </c>
      <c r="B157" s="7">
        <v>36</v>
      </c>
      <c r="C157" s="8" t="s">
        <v>22</v>
      </c>
      <c r="D157" s="8" t="s">
        <v>27</v>
      </c>
      <c r="E157" s="2">
        <v>15.5</v>
      </c>
      <c r="F157" s="2">
        <v>43.1</v>
      </c>
      <c r="G157" s="2"/>
      <c r="H157" s="2"/>
      <c r="I157" s="2"/>
      <c r="J157" s="2"/>
      <c r="K157" s="2">
        <v>54</v>
      </c>
      <c r="L157" s="2">
        <v>4053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>
        <f t="shared" si="4"/>
        <v>0</v>
      </c>
      <c r="Z157" t="e">
        <f t="shared" si="5"/>
        <v>#DIV/0!</v>
      </c>
    </row>
    <row r="158" spans="1:26" x14ac:dyDescent="0.25">
      <c r="A158" t="s">
        <v>186</v>
      </c>
      <c r="B158" s="7">
        <v>37</v>
      </c>
      <c r="C158" s="8" t="s">
        <v>22</v>
      </c>
      <c r="D158" s="8" t="s">
        <v>27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>
        <f t="shared" si="4"/>
        <v>0</v>
      </c>
      <c r="Z158" t="e">
        <f t="shared" si="5"/>
        <v>#DIV/0!</v>
      </c>
    </row>
    <row r="159" spans="1:26" x14ac:dyDescent="0.25">
      <c r="A159" t="s">
        <v>187</v>
      </c>
      <c r="B159" s="7">
        <v>38</v>
      </c>
      <c r="C159" s="8" t="s">
        <v>22</v>
      </c>
      <c r="D159" s="8" t="s">
        <v>27</v>
      </c>
      <c r="E159" s="2">
        <v>14.9</v>
      </c>
      <c r="F159" s="2">
        <v>8.6999999999999993</v>
      </c>
      <c r="G159" s="2">
        <v>14</v>
      </c>
      <c r="H159" s="2">
        <v>82</v>
      </c>
      <c r="I159" s="2">
        <v>47.5</v>
      </c>
      <c r="J159" s="2">
        <v>61</v>
      </c>
      <c r="K159" s="2">
        <v>33</v>
      </c>
      <c r="L159" s="2">
        <v>1445</v>
      </c>
      <c r="M159" s="2">
        <v>1</v>
      </c>
      <c r="N159" s="2">
        <v>0</v>
      </c>
      <c r="O159" s="2">
        <v>4</v>
      </c>
      <c r="P159" s="2">
        <v>0</v>
      </c>
      <c r="Q159" s="2">
        <v>0</v>
      </c>
      <c r="R159" s="2">
        <v>2</v>
      </c>
      <c r="S159" s="2">
        <v>8</v>
      </c>
      <c r="T159" s="2">
        <v>0</v>
      </c>
      <c r="U159" s="2">
        <v>0</v>
      </c>
      <c r="V159" s="2">
        <v>4</v>
      </c>
      <c r="W159" s="2">
        <v>0</v>
      </c>
      <c r="X159" s="2">
        <v>34</v>
      </c>
      <c r="Y159">
        <f t="shared" si="4"/>
        <v>17</v>
      </c>
      <c r="Z159">
        <f t="shared" si="5"/>
        <v>2.1176470588235294</v>
      </c>
    </row>
    <row r="160" spans="1:26" x14ac:dyDescent="0.25">
      <c r="A160" t="s">
        <v>188</v>
      </c>
      <c r="B160" s="7">
        <v>39</v>
      </c>
      <c r="C160" s="8" t="s">
        <v>22</v>
      </c>
      <c r="D160" s="8" t="s">
        <v>27</v>
      </c>
      <c r="E160" s="2">
        <v>7.5</v>
      </c>
      <c r="F160" s="2">
        <v>18</v>
      </c>
      <c r="G160" s="2">
        <v>41</v>
      </c>
      <c r="H160" s="2"/>
      <c r="I160" s="2">
        <v>20</v>
      </c>
      <c r="J160" s="2"/>
      <c r="K160" s="2">
        <v>44</v>
      </c>
      <c r="L160" s="2"/>
      <c r="M160" s="2">
        <v>1</v>
      </c>
      <c r="N160" s="2">
        <v>0</v>
      </c>
      <c r="O160" s="2">
        <v>2</v>
      </c>
      <c r="P160" s="2">
        <v>0</v>
      </c>
      <c r="Q160" s="2">
        <v>0</v>
      </c>
      <c r="R160" s="2">
        <v>10</v>
      </c>
      <c r="S160" s="2"/>
      <c r="T160" s="2"/>
      <c r="U160" s="2"/>
      <c r="V160" s="2"/>
      <c r="W160" s="2"/>
      <c r="X160" s="2"/>
      <c r="Y160">
        <f t="shared" si="4"/>
        <v>3</v>
      </c>
      <c r="Z160">
        <f t="shared" si="5"/>
        <v>3.3333333333333335</v>
      </c>
    </row>
    <row r="161" spans="1:26" x14ac:dyDescent="0.25">
      <c r="A161" t="s">
        <v>189</v>
      </c>
      <c r="B161" s="7">
        <v>40</v>
      </c>
      <c r="C161" s="8" t="s">
        <v>22</v>
      </c>
      <c r="D161" s="8" t="s">
        <v>27</v>
      </c>
      <c r="E161" s="2">
        <v>18</v>
      </c>
      <c r="F161" s="2">
        <v>20.5</v>
      </c>
      <c r="G161" s="2">
        <v>39</v>
      </c>
      <c r="H161" s="2">
        <v>198</v>
      </c>
      <c r="I161" s="2">
        <v>56</v>
      </c>
      <c r="J161" s="2">
        <v>57</v>
      </c>
      <c r="K161" s="2">
        <v>37</v>
      </c>
      <c r="L161" s="2">
        <v>74</v>
      </c>
      <c r="M161" s="2">
        <v>2</v>
      </c>
      <c r="N161" s="2">
        <v>1</v>
      </c>
      <c r="O161" s="2">
        <v>1</v>
      </c>
      <c r="P161" s="2">
        <v>1</v>
      </c>
      <c r="Q161" s="2">
        <v>1</v>
      </c>
      <c r="R161" s="2">
        <v>26</v>
      </c>
      <c r="S161" s="2">
        <v>0</v>
      </c>
      <c r="T161" s="2">
        <v>1</v>
      </c>
      <c r="U161" s="2">
        <v>0</v>
      </c>
      <c r="V161" s="2">
        <v>0</v>
      </c>
      <c r="W161" s="2">
        <v>0</v>
      </c>
      <c r="X161" s="2" t="e">
        <v>#VALUE!</v>
      </c>
      <c r="Y161">
        <f t="shared" si="4"/>
        <v>7</v>
      </c>
      <c r="Z161" t="e">
        <f t="shared" si="5"/>
        <v>#VALUE!</v>
      </c>
    </row>
    <row r="162" spans="1:26" x14ac:dyDescent="0.25">
      <c r="A162" t="s">
        <v>190</v>
      </c>
      <c r="B162" s="7">
        <v>21</v>
      </c>
      <c r="C162" s="8" t="s">
        <v>23</v>
      </c>
      <c r="D162" s="8" t="s">
        <v>27</v>
      </c>
      <c r="E162" s="2">
        <v>12</v>
      </c>
      <c r="F162" s="2">
        <v>24.5</v>
      </c>
      <c r="G162" s="2">
        <v>13</v>
      </c>
      <c r="H162" s="2">
        <v>61</v>
      </c>
      <c r="I162" s="2">
        <v>37</v>
      </c>
      <c r="J162" s="2">
        <v>51</v>
      </c>
      <c r="K162" s="2">
        <v>36</v>
      </c>
      <c r="L162" s="2">
        <v>175</v>
      </c>
      <c r="M162" s="2">
        <v>1</v>
      </c>
      <c r="N162" s="2">
        <v>0</v>
      </c>
      <c r="O162" s="2">
        <v>0</v>
      </c>
      <c r="P162" s="2">
        <v>0</v>
      </c>
      <c r="Q162" s="2">
        <v>0</v>
      </c>
      <c r="R162" s="2">
        <v>3</v>
      </c>
      <c r="S162" s="2">
        <v>4</v>
      </c>
      <c r="T162" s="2">
        <v>0</v>
      </c>
      <c r="U162" s="2">
        <v>0</v>
      </c>
      <c r="V162" s="2">
        <v>1</v>
      </c>
      <c r="W162" s="2">
        <v>1</v>
      </c>
      <c r="X162" s="2">
        <v>49</v>
      </c>
      <c r="Y162">
        <f t="shared" si="4"/>
        <v>7</v>
      </c>
      <c r="Z162">
        <f t="shared" si="5"/>
        <v>7.4285714285714288</v>
      </c>
    </row>
    <row r="163" spans="1:26" x14ac:dyDescent="0.25">
      <c r="A163" t="s">
        <v>191</v>
      </c>
      <c r="B163" s="7">
        <v>22</v>
      </c>
      <c r="C163" s="8" t="s">
        <v>23</v>
      </c>
      <c r="D163" s="8" t="s">
        <v>27</v>
      </c>
      <c r="E163" s="2">
        <v>19.5</v>
      </c>
      <c r="F163" s="2">
        <v>23.7</v>
      </c>
      <c r="G163" s="2">
        <v>37</v>
      </c>
      <c r="H163" s="2">
        <v>118</v>
      </c>
      <c r="I163" s="2">
        <v>59</v>
      </c>
      <c r="J163" s="2">
        <v>83</v>
      </c>
      <c r="K163" s="2">
        <v>31</v>
      </c>
      <c r="L163" s="2">
        <v>2433</v>
      </c>
      <c r="M163" s="2">
        <v>2</v>
      </c>
      <c r="N163" s="2">
        <v>2</v>
      </c>
      <c r="O163" s="2">
        <v>0</v>
      </c>
      <c r="P163" s="2">
        <v>0</v>
      </c>
      <c r="Q163" s="2">
        <v>0</v>
      </c>
      <c r="R163" s="2">
        <v>21</v>
      </c>
      <c r="S163" s="2">
        <v>5</v>
      </c>
      <c r="T163" s="2">
        <v>1</v>
      </c>
      <c r="U163" s="2">
        <v>3</v>
      </c>
      <c r="V163" s="2">
        <v>0</v>
      </c>
      <c r="W163" s="2">
        <v>0</v>
      </c>
      <c r="X163" s="2">
        <v>24</v>
      </c>
      <c r="Y163">
        <f t="shared" si="4"/>
        <v>13</v>
      </c>
      <c r="Z163">
        <f t="shared" si="5"/>
        <v>3.4615384615384617</v>
      </c>
    </row>
    <row r="164" spans="1:26" x14ac:dyDescent="0.25">
      <c r="A164" t="s">
        <v>192</v>
      </c>
      <c r="B164" s="7">
        <v>23</v>
      </c>
      <c r="C164" s="8" t="s">
        <v>23</v>
      </c>
      <c r="D164" s="8" t="s">
        <v>27</v>
      </c>
      <c r="E164" s="2">
        <v>15</v>
      </c>
      <c r="F164" s="2">
        <v>21.1</v>
      </c>
      <c r="G164" s="2">
        <v>29</v>
      </c>
      <c r="H164" s="2">
        <v>71</v>
      </c>
      <c r="I164" s="2">
        <v>54.3</v>
      </c>
      <c r="J164" s="2">
        <v>58.3</v>
      </c>
      <c r="K164" s="2">
        <v>39</v>
      </c>
      <c r="L164" s="2">
        <v>1512</v>
      </c>
      <c r="M164" s="2">
        <v>4</v>
      </c>
      <c r="N164" s="2">
        <v>0</v>
      </c>
      <c r="O164" s="2">
        <v>3</v>
      </c>
      <c r="P164" s="2">
        <v>1</v>
      </c>
      <c r="Q164" s="2">
        <v>0</v>
      </c>
      <c r="R164" s="2">
        <v>26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3</v>
      </c>
      <c r="Y164">
        <f t="shared" si="4"/>
        <v>9</v>
      </c>
      <c r="Z164">
        <f t="shared" si="5"/>
        <v>3.2222222222222223</v>
      </c>
    </row>
    <row r="165" spans="1:26" x14ac:dyDescent="0.25">
      <c r="A165" t="s">
        <v>193</v>
      </c>
      <c r="B165" s="7">
        <v>24</v>
      </c>
      <c r="C165" s="8" t="s">
        <v>23</v>
      </c>
      <c r="D165" s="8" t="s">
        <v>27</v>
      </c>
      <c r="E165" s="2">
        <v>19.5</v>
      </c>
      <c r="F165" s="2">
        <v>22</v>
      </c>
      <c r="G165" s="2">
        <v>87</v>
      </c>
      <c r="H165" s="2">
        <v>129</v>
      </c>
      <c r="I165" s="2">
        <v>71</v>
      </c>
      <c r="J165" s="2">
        <v>78</v>
      </c>
      <c r="K165" s="2">
        <v>33</v>
      </c>
      <c r="L165" s="2">
        <v>3049</v>
      </c>
      <c r="M165" s="2">
        <v>0</v>
      </c>
      <c r="N165" s="2">
        <v>4</v>
      </c>
      <c r="O165" s="2">
        <v>4</v>
      </c>
      <c r="P165" s="2">
        <v>0</v>
      </c>
      <c r="Q165" s="2">
        <v>1</v>
      </c>
      <c r="R165" s="2">
        <v>15</v>
      </c>
      <c r="S165" s="2">
        <v>7</v>
      </c>
      <c r="T165" s="2">
        <v>0</v>
      </c>
      <c r="U165" s="2">
        <v>1</v>
      </c>
      <c r="V165" s="2">
        <v>0</v>
      </c>
      <c r="W165" s="2">
        <v>0</v>
      </c>
      <c r="X165" s="2">
        <v>45</v>
      </c>
      <c r="Y165">
        <f t="shared" si="4"/>
        <v>17</v>
      </c>
      <c r="Z165">
        <f t="shared" si="5"/>
        <v>3.5294117647058822</v>
      </c>
    </row>
    <row r="166" spans="1:26" x14ac:dyDescent="0.25">
      <c r="A166" t="s">
        <v>194</v>
      </c>
      <c r="B166" s="7">
        <v>25</v>
      </c>
      <c r="C166" s="8" t="s">
        <v>23</v>
      </c>
      <c r="D166" s="8" t="s">
        <v>27</v>
      </c>
      <c r="E166" s="2">
        <v>9.1</v>
      </c>
      <c r="F166" s="2">
        <v>19.100000000000001</v>
      </c>
      <c r="G166" s="2">
        <v>38</v>
      </c>
      <c r="H166" s="2">
        <v>94</v>
      </c>
      <c r="I166" s="2">
        <v>49</v>
      </c>
      <c r="J166" s="2">
        <v>49.4</v>
      </c>
      <c r="K166" s="2">
        <v>43</v>
      </c>
      <c r="L166" s="2">
        <v>459</v>
      </c>
      <c r="M166" s="2"/>
      <c r="N166" s="2"/>
      <c r="O166" s="2"/>
      <c r="P166" s="2"/>
      <c r="Q166" s="2"/>
      <c r="R166" s="2"/>
      <c r="S166" s="2">
        <v>1</v>
      </c>
      <c r="T166" s="2">
        <v>0</v>
      </c>
      <c r="U166" s="2">
        <v>5</v>
      </c>
      <c r="V166" s="2">
        <v>1</v>
      </c>
      <c r="W166" s="2">
        <v>1</v>
      </c>
      <c r="X166" s="2">
        <v>28</v>
      </c>
      <c r="Y166">
        <f t="shared" si="4"/>
        <v>8</v>
      </c>
      <c r="Z166">
        <f t="shared" si="5"/>
        <v>3.5</v>
      </c>
    </row>
    <row r="167" spans="1:26" x14ac:dyDescent="0.25">
      <c r="A167" t="s">
        <v>195</v>
      </c>
      <c r="B167" s="7">
        <v>26</v>
      </c>
      <c r="C167" s="8" t="s">
        <v>23</v>
      </c>
      <c r="D167" s="8" t="s">
        <v>27</v>
      </c>
      <c r="E167" s="2">
        <v>11.7</v>
      </c>
      <c r="F167" s="2">
        <v>19.399999999999999</v>
      </c>
      <c r="G167" s="2">
        <v>37</v>
      </c>
      <c r="H167" s="2"/>
      <c r="I167" s="2">
        <v>21</v>
      </c>
      <c r="J167" s="2"/>
      <c r="K167" s="2">
        <v>41</v>
      </c>
      <c r="L167" s="2"/>
      <c r="M167" s="2">
        <v>5</v>
      </c>
      <c r="N167" s="2">
        <v>0</v>
      </c>
      <c r="O167" s="2">
        <v>0</v>
      </c>
      <c r="P167" s="2">
        <v>0</v>
      </c>
      <c r="Q167" s="2">
        <v>0</v>
      </c>
      <c r="R167" s="2">
        <v>19</v>
      </c>
      <c r="S167" s="2"/>
      <c r="T167" s="2"/>
      <c r="U167" s="2"/>
      <c r="V167" s="2"/>
      <c r="W167" s="2"/>
      <c r="X167" s="2"/>
      <c r="Y167">
        <f t="shared" si="4"/>
        <v>5</v>
      </c>
      <c r="Z167">
        <f t="shared" si="5"/>
        <v>3.8</v>
      </c>
    </row>
    <row r="168" spans="1:26" x14ac:dyDescent="0.25">
      <c r="A168" t="s">
        <v>196</v>
      </c>
      <c r="B168" s="7">
        <v>27</v>
      </c>
      <c r="C168" s="8" t="s">
        <v>23</v>
      </c>
      <c r="D168" s="8" t="s">
        <v>27</v>
      </c>
      <c r="E168" s="2">
        <v>6.8</v>
      </c>
      <c r="F168" s="2">
        <v>30.3</v>
      </c>
      <c r="G168" s="2">
        <v>780</v>
      </c>
      <c r="H168" s="2"/>
      <c r="I168" s="2">
        <v>85</v>
      </c>
      <c r="J168" s="2"/>
      <c r="K168" s="2">
        <v>70</v>
      </c>
      <c r="L168" s="2">
        <v>9749</v>
      </c>
      <c r="M168" s="2">
        <v>4</v>
      </c>
      <c r="N168" s="2">
        <v>2</v>
      </c>
      <c r="O168" s="2">
        <v>11</v>
      </c>
      <c r="P168" s="2">
        <v>0</v>
      </c>
      <c r="Q168" s="2">
        <v>0</v>
      </c>
      <c r="R168" s="2">
        <v>181</v>
      </c>
      <c r="S168" s="2"/>
      <c r="T168" s="2"/>
      <c r="U168" s="2"/>
      <c r="V168" s="2"/>
      <c r="W168" s="2"/>
      <c r="X168" s="2"/>
      <c r="Y168">
        <f t="shared" si="4"/>
        <v>17</v>
      </c>
      <c r="Z168">
        <f t="shared" si="5"/>
        <v>10.647058823529411</v>
      </c>
    </row>
    <row r="169" spans="1:26" x14ac:dyDescent="0.25">
      <c r="A169" t="s">
        <v>197</v>
      </c>
      <c r="B169" s="7">
        <v>28</v>
      </c>
      <c r="C169" s="8" t="s">
        <v>23</v>
      </c>
      <c r="D169" s="8" t="s">
        <v>27</v>
      </c>
      <c r="E169" s="2">
        <v>12.4</v>
      </c>
      <c r="F169" s="2">
        <v>17</v>
      </c>
      <c r="G169" s="2">
        <v>28</v>
      </c>
      <c r="H169" s="2">
        <v>86</v>
      </c>
      <c r="I169" s="2">
        <v>48.1</v>
      </c>
      <c r="J169" s="2">
        <v>61</v>
      </c>
      <c r="K169" s="2">
        <v>33</v>
      </c>
      <c r="L169" s="2"/>
      <c r="M169" s="2">
        <v>1</v>
      </c>
      <c r="N169" s="2">
        <v>0</v>
      </c>
      <c r="O169" s="2">
        <v>2</v>
      </c>
      <c r="P169" s="2">
        <v>0</v>
      </c>
      <c r="Q169" s="2">
        <v>1</v>
      </c>
      <c r="R169" s="2">
        <v>15</v>
      </c>
      <c r="S169" s="2">
        <v>10</v>
      </c>
      <c r="T169" s="2">
        <v>0</v>
      </c>
      <c r="U169" s="2">
        <v>0</v>
      </c>
      <c r="V169" s="2">
        <v>1</v>
      </c>
      <c r="W169" s="2">
        <v>0</v>
      </c>
      <c r="X169" s="2">
        <v>59</v>
      </c>
      <c r="Y169">
        <f t="shared" si="4"/>
        <v>15</v>
      </c>
      <c r="Z169">
        <f t="shared" si="5"/>
        <v>4.9333333333333336</v>
      </c>
    </row>
    <row r="170" spans="1:26" x14ac:dyDescent="0.25">
      <c r="A170" t="s">
        <v>198</v>
      </c>
      <c r="B170" s="7">
        <v>29</v>
      </c>
      <c r="C170" s="8" t="s">
        <v>23</v>
      </c>
      <c r="D170" s="8" t="s">
        <v>27</v>
      </c>
      <c r="E170" s="2">
        <v>21.1</v>
      </c>
      <c r="F170" s="2">
        <v>22.9</v>
      </c>
      <c r="G170" s="2">
        <v>38</v>
      </c>
      <c r="H170" s="2">
        <v>96</v>
      </c>
      <c r="I170" s="2">
        <v>46</v>
      </c>
      <c r="J170" s="2">
        <v>54</v>
      </c>
      <c r="K170" s="2">
        <v>30</v>
      </c>
      <c r="L170" s="2">
        <v>950</v>
      </c>
      <c r="M170" s="2">
        <v>4</v>
      </c>
      <c r="N170" s="2">
        <v>2</v>
      </c>
      <c r="O170" s="2">
        <v>0</v>
      </c>
      <c r="P170" s="2">
        <v>1</v>
      </c>
      <c r="Q170" s="2">
        <v>0</v>
      </c>
      <c r="R170" s="2">
        <v>3</v>
      </c>
      <c r="S170" s="2">
        <v>2</v>
      </c>
      <c r="T170" s="2">
        <v>0</v>
      </c>
      <c r="U170" s="2">
        <v>1</v>
      </c>
      <c r="V170" s="2">
        <v>0</v>
      </c>
      <c r="W170" s="2">
        <v>0</v>
      </c>
      <c r="X170" s="2">
        <v>38</v>
      </c>
      <c r="Y170">
        <f t="shared" si="4"/>
        <v>10</v>
      </c>
      <c r="Z170">
        <f t="shared" si="5"/>
        <v>4.0999999999999996</v>
      </c>
    </row>
    <row r="171" spans="1:26" x14ac:dyDescent="0.25">
      <c r="A171" t="s">
        <v>199</v>
      </c>
      <c r="B171" s="7">
        <v>30</v>
      </c>
      <c r="C171" s="8" t="s">
        <v>23</v>
      </c>
      <c r="D171" s="8" t="s">
        <v>27</v>
      </c>
      <c r="E171" s="2">
        <v>17.600000000000001</v>
      </c>
      <c r="F171" s="2">
        <v>31</v>
      </c>
      <c r="G171" s="2">
        <v>64</v>
      </c>
      <c r="H171" s="2">
        <v>100</v>
      </c>
      <c r="I171" s="2">
        <v>52</v>
      </c>
      <c r="J171" s="2">
        <v>58</v>
      </c>
      <c r="K171" s="2">
        <v>30</v>
      </c>
      <c r="L171" s="2">
        <v>2700</v>
      </c>
      <c r="M171" s="2">
        <v>1</v>
      </c>
      <c r="N171" s="2">
        <v>0</v>
      </c>
      <c r="O171" s="2">
        <v>4</v>
      </c>
      <c r="P171" s="2">
        <v>0</v>
      </c>
      <c r="Q171" s="2">
        <v>0</v>
      </c>
      <c r="R171" s="2">
        <v>20</v>
      </c>
      <c r="S171" s="2">
        <v>0</v>
      </c>
      <c r="T171" s="2">
        <v>0</v>
      </c>
      <c r="U171" s="2">
        <v>2</v>
      </c>
      <c r="V171" s="2">
        <v>1</v>
      </c>
      <c r="W171" s="2">
        <v>0</v>
      </c>
      <c r="X171" s="2">
        <v>16</v>
      </c>
      <c r="Y171">
        <f t="shared" si="4"/>
        <v>8</v>
      </c>
      <c r="Z171">
        <f t="shared" si="5"/>
        <v>4.5</v>
      </c>
    </row>
    <row r="172" spans="1:26" x14ac:dyDescent="0.25">
      <c r="A172" t="s">
        <v>200</v>
      </c>
      <c r="B172" s="7">
        <v>31</v>
      </c>
      <c r="C172" s="8" t="s">
        <v>23</v>
      </c>
      <c r="D172" s="8" t="s">
        <v>27</v>
      </c>
      <c r="E172" s="2">
        <v>20.5</v>
      </c>
      <c r="F172" s="2">
        <v>25.9</v>
      </c>
      <c r="G172" s="2">
        <v>80</v>
      </c>
      <c r="H172" s="2">
        <v>167</v>
      </c>
      <c r="I172" s="2">
        <v>60</v>
      </c>
      <c r="J172" s="2">
        <v>77.099999999999994</v>
      </c>
      <c r="K172" s="2">
        <v>40</v>
      </c>
      <c r="L172" s="2">
        <v>1245</v>
      </c>
      <c r="M172" s="2">
        <v>9</v>
      </c>
      <c r="N172" s="2">
        <v>0</v>
      </c>
      <c r="O172" s="2">
        <v>3</v>
      </c>
      <c r="P172" s="2">
        <v>2</v>
      </c>
      <c r="Q172" s="2">
        <v>0</v>
      </c>
      <c r="R172" s="2">
        <v>62</v>
      </c>
      <c r="S172" s="2">
        <v>2</v>
      </c>
      <c r="T172" s="2">
        <v>0</v>
      </c>
      <c r="U172" s="2">
        <v>3</v>
      </c>
      <c r="V172" s="2">
        <v>0</v>
      </c>
      <c r="W172" s="2">
        <v>0</v>
      </c>
      <c r="X172" s="2">
        <v>36</v>
      </c>
      <c r="Y172">
        <f t="shared" si="4"/>
        <v>19</v>
      </c>
      <c r="Z172">
        <f t="shared" si="5"/>
        <v>5.1578947368421053</v>
      </c>
    </row>
    <row r="173" spans="1:26" x14ac:dyDescent="0.25">
      <c r="A173" t="s">
        <v>201</v>
      </c>
      <c r="B173" s="7">
        <v>32</v>
      </c>
      <c r="C173" s="8" t="s">
        <v>23</v>
      </c>
      <c r="D173" s="8" t="s">
        <v>27</v>
      </c>
      <c r="E173" s="2">
        <v>19.100000000000001</v>
      </c>
      <c r="F173" s="2"/>
      <c r="G173" s="2">
        <v>117</v>
      </c>
      <c r="H173" s="2">
        <v>34</v>
      </c>
      <c r="I173" s="2">
        <v>48</v>
      </c>
      <c r="J173" s="2"/>
      <c r="K173" s="2">
        <v>39</v>
      </c>
      <c r="L173" s="2"/>
      <c r="M173" s="2">
        <v>2</v>
      </c>
      <c r="N173" s="2">
        <v>0</v>
      </c>
      <c r="O173" s="2">
        <v>0</v>
      </c>
      <c r="P173" s="2">
        <v>0</v>
      </c>
      <c r="Q173" s="2">
        <v>1</v>
      </c>
      <c r="R173" s="2">
        <v>10</v>
      </c>
      <c r="S173" s="2"/>
      <c r="T173" s="2"/>
      <c r="U173" s="2"/>
      <c r="V173" s="2"/>
      <c r="W173" s="2"/>
      <c r="X173" s="2"/>
      <c r="Y173">
        <f t="shared" si="4"/>
        <v>3</v>
      </c>
      <c r="Z173">
        <f t="shared" si="5"/>
        <v>3.3333333333333335</v>
      </c>
    </row>
    <row r="174" spans="1:26" x14ac:dyDescent="0.25">
      <c r="A174" t="s">
        <v>202</v>
      </c>
      <c r="B174" s="7">
        <v>33</v>
      </c>
      <c r="C174" s="8" t="s">
        <v>23</v>
      </c>
      <c r="D174" s="8" t="s">
        <v>27</v>
      </c>
      <c r="E174" s="2">
        <v>19.5</v>
      </c>
      <c r="F174" s="2">
        <v>22.9</v>
      </c>
      <c r="G174" s="2">
        <v>70</v>
      </c>
      <c r="H174" s="2">
        <v>184</v>
      </c>
      <c r="I174" s="2">
        <v>71</v>
      </c>
      <c r="J174" s="2">
        <v>87</v>
      </c>
      <c r="K174" s="2">
        <v>38</v>
      </c>
      <c r="L174" s="2">
        <v>1883</v>
      </c>
      <c r="M174" s="2">
        <v>1</v>
      </c>
      <c r="N174" s="2">
        <v>1</v>
      </c>
      <c r="O174" s="2">
        <v>4</v>
      </c>
      <c r="P174" s="2">
        <v>0</v>
      </c>
      <c r="Q174" s="2">
        <v>0</v>
      </c>
      <c r="R174" s="2">
        <v>17</v>
      </c>
      <c r="S174" s="2">
        <v>0</v>
      </c>
      <c r="T174" s="2">
        <v>0</v>
      </c>
      <c r="U174" s="2">
        <v>1</v>
      </c>
      <c r="V174" s="2">
        <v>0</v>
      </c>
      <c r="W174" s="2">
        <v>0</v>
      </c>
      <c r="X174" s="2">
        <v>3</v>
      </c>
      <c r="Y174">
        <f t="shared" si="4"/>
        <v>7</v>
      </c>
      <c r="Z174">
        <f t="shared" si="5"/>
        <v>2.8571428571428572</v>
      </c>
    </row>
    <row r="175" spans="1:26" x14ac:dyDescent="0.25">
      <c r="A175" t="s">
        <v>203</v>
      </c>
      <c r="B175" s="7">
        <v>34</v>
      </c>
      <c r="C175" s="8" t="s">
        <v>23</v>
      </c>
      <c r="D175" s="8" t="s">
        <v>27</v>
      </c>
      <c r="E175" s="2">
        <v>14.5</v>
      </c>
      <c r="F175" s="2">
        <v>28</v>
      </c>
      <c r="G175" s="2">
        <v>37</v>
      </c>
      <c r="H175" s="2">
        <v>40</v>
      </c>
      <c r="I175" s="2">
        <v>48</v>
      </c>
      <c r="J175" s="2">
        <v>50.2</v>
      </c>
      <c r="K175" s="2">
        <v>38</v>
      </c>
      <c r="L175" s="2"/>
      <c r="M175" s="2">
        <v>3</v>
      </c>
      <c r="N175" s="2">
        <v>0</v>
      </c>
      <c r="O175" s="2">
        <v>1</v>
      </c>
      <c r="P175" s="2">
        <v>0</v>
      </c>
      <c r="Q175" s="2">
        <v>0</v>
      </c>
      <c r="R175" s="2">
        <v>7</v>
      </c>
      <c r="S175" s="2">
        <v>1</v>
      </c>
      <c r="T175" s="2">
        <v>0</v>
      </c>
      <c r="U175" s="2">
        <v>1</v>
      </c>
      <c r="V175" s="2">
        <v>0</v>
      </c>
      <c r="W175" s="2">
        <v>0</v>
      </c>
      <c r="X175" s="2">
        <v>10</v>
      </c>
      <c r="Y175">
        <f t="shared" si="4"/>
        <v>6</v>
      </c>
      <c r="Z175">
        <f t="shared" si="5"/>
        <v>2.8333333333333335</v>
      </c>
    </row>
    <row r="176" spans="1:26" x14ac:dyDescent="0.25">
      <c r="A176" t="s">
        <v>204</v>
      </c>
      <c r="B176" s="7">
        <v>35</v>
      </c>
      <c r="C176" s="8" t="s">
        <v>23</v>
      </c>
      <c r="D176" s="8" t="s">
        <v>27</v>
      </c>
      <c r="E176" s="2">
        <v>20.100000000000001</v>
      </c>
      <c r="F176" s="2">
        <v>21</v>
      </c>
      <c r="G176" s="2">
        <v>39</v>
      </c>
      <c r="H176" s="2">
        <v>57</v>
      </c>
      <c r="I176" s="2">
        <v>63</v>
      </c>
      <c r="J176" s="2">
        <v>70</v>
      </c>
      <c r="K176" s="2">
        <v>43</v>
      </c>
      <c r="L176" s="2">
        <v>607</v>
      </c>
      <c r="M176" s="2">
        <v>2</v>
      </c>
      <c r="N176" s="2">
        <v>0</v>
      </c>
      <c r="O176" s="2">
        <v>0</v>
      </c>
      <c r="P176" s="2">
        <v>0</v>
      </c>
      <c r="Q176" s="2">
        <v>0</v>
      </c>
      <c r="R176" s="2">
        <v>5</v>
      </c>
      <c r="S176" s="2">
        <v>6</v>
      </c>
      <c r="T176" s="2">
        <v>0</v>
      </c>
      <c r="U176" s="2">
        <v>4</v>
      </c>
      <c r="V176" s="2">
        <v>0</v>
      </c>
      <c r="W176" s="2">
        <v>0</v>
      </c>
      <c r="X176" s="2">
        <v>42</v>
      </c>
      <c r="Y176">
        <f t="shared" si="4"/>
        <v>12</v>
      </c>
      <c r="Z176">
        <f t="shared" si="5"/>
        <v>3.9166666666666665</v>
      </c>
    </row>
    <row r="177" spans="1:26" x14ac:dyDescent="0.25">
      <c r="A177" t="s">
        <v>205</v>
      </c>
      <c r="B177" s="7">
        <v>36</v>
      </c>
      <c r="C177" s="8" t="s">
        <v>23</v>
      </c>
      <c r="D177" s="8" t="s">
        <v>27</v>
      </c>
      <c r="E177" s="2">
        <v>18.8</v>
      </c>
      <c r="F177" s="2">
        <v>23.6</v>
      </c>
      <c r="G177" s="2">
        <v>62</v>
      </c>
      <c r="H177" s="2"/>
      <c r="I177" s="2">
        <v>56.5</v>
      </c>
      <c r="J177" s="2"/>
      <c r="K177" s="2">
        <v>40</v>
      </c>
      <c r="L177" s="2">
        <v>92</v>
      </c>
      <c r="M177" s="2">
        <v>3</v>
      </c>
      <c r="N177" s="2">
        <v>0</v>
      </c>
      <c r="O177" s="2">
        <v>1</v>
      </c>
      <c r="P177" s="2">
        <v>0</v>
      </c>
      <c r="Q177" s="2">
        <v>0</v>
      </c>
      <c r="R177" s="2">
        <v>14</v>
      </c>
      <c r="S177" s="2"/>
      <c r="T177" s="2"/>
      <c r="U177" s="2"/>
      <c r="V177" s="2"/>
      <c r="W177" s="2"/>
      <c r="X177" s="2"/>
      <c r="Y177">
        <f t="shared" si="4"/>
        <v>4</v>
      </c>
      <c r="Z177">
        <f t="shared" si="5"/>
        <v>3.5</v>
      </c>
    </row>
    <row r="178" spans="1:26" x14ac:dyDescent="0.25">
      <c r="A178" t="s">
        <v>206</v>
      </c>
      <c r="B178" s="7">
        <v>37</v>
      </c>
      <c r="C178" s="8" t="s">
        <v>23</v>
      </c>
      <c r="D178" s="8" t="s">
        <v>27</v>
      </c>
      <c r="E178" s="2">
        <v>11</v>
      </c>
      <c r="F178" s="2">
        <v>23.9</v>
      </c>
      <c r="G178" s="2">
        <v>70</v>
      </c>
      <c r="H178" s="2">
        <v>146</v>
      </c>
      <c r="I178" s="2">
        <v>48</v>
      </c>
      <c r="J178" s="2">
        <v>55</v>
      </c>
      <c r="K178" s="2">
        <v>44</v>
      </c>
      <c r="L178" s="2">
        <v>420</v>
      </c>
      <c r="M178" s="2">
        <v>1</v>
      </c>
      <c r="N178" s="2">
        <v>1</v>
      </c>
      <c r="O178" s="2">
        <v>0</v>
      </c>
      <c r="P178" s="2">
        <v>0</v>
      </c>
      <c r="Q178" s="2">
        <v>0</v>
      </c>
      <c r="R178" s="2">
        <v>3</v>
      </c>
      <c r="S178" s="2"/>
      <c r="T178" s="2"/>
      <c r="U178" s="2"/>
      <c r="V178" s="2"/>
      <c r="W178" s="2"/>
      <c r="X178" s="2"/>
      <c r="Y178">
        <f t="shared" si="4"/>
        <v>2</v>
      </c>
      <c r="Z178">
        <f t="shared" si="5"/>
        <v>1.5</v>
      </c>
    </row>
    <row r="179" spans="1:26" x14ac:dyDescent="0.25">
      <c r="A179" t="s">
        <v>207</v>
      </c>
      <c r="B179" s="7">
        <v>38</v>
      </c>
      <c r="C179" s="8" t="s">
        <v>23</v>
      </c>
      <c r="D179" s="8" t="s">
        <v>27</v>
      </c>
      <c r="E179" s="2">
        <v>18</v>
      </c>
      <c r="F179" s="2">
        <v>30</v>
      </c>
      <c r="G179" s="2">
        <v>95</v>
      </c>
      <c r="H179" s="2">
        <v>320</v>
      </c>
      <c r="I179" s="2">
        <v>67</v>
      </c>
      <c r="J179" s="2">
        <v>74</v>
      </c>
      <c r="K179" s="2">
        <v>41</v>
      </c>
      <c r="L179" s="2">
        <v>2956</v>
      </c>
      <c r="M179" s="2">
        <v>3</v>
      </c>
      <c r="N179" s="2">
        <v>0</v>
      </c>
      <c r="O179" s="2">
        <v>6</v>
      </c>
      <c r="P179" s="2">
        <v>1</v>
      </c>
      <c r="Q179" s="2">
        <v>0</v>
      </c>
      <c r="R179" s="2">
        <v>50</v>
      </c>
      <c r="S179" s="2">
        <v>1</v>
      </c>
      <c r="T179" s="2">
        <v>1</v>
      </c>
      <c r="U179" s="2">
        <v>4</v>
      </c>
      <c r="V179" s="2">
        <v>0</v>
      </c>
      <c r="W179" s="2">
        <v>0</v>
      </c>
      <c r="X179" s="2">
        <v>54</v>
      </c>
      <c r="Y179">
        <f t="shared" si="4"/>
        <v>16</v>
      </c>
      <c r="Z179">
        <f t="shared" si="5"/>
        <v>6.5</v>
      </c>
    </row>
    <row r="180" spans="1:26" x14ac:dyDescent="0.25">
      <c r="A180" t="s">
        <v>208</v>
      </c>
      <c r="B180" s="7">
        <v>39</v>
      </c>
      <c r="C180" s="8" t="s">
        <v>23</v>
      </c>
      <c r="D180" s="8" t="s">
        <v>27</v>
      </c>
      <c r="E180" s="2">
        <v>20.5</v>
      </c>
      <c r="F180" s="2">
        <v>33</v>
      </c>
      <c r="G180" s="2">
        <v>173</v>
      </c>
      <c r="H180" s="2">
        <v>280</v>
      </c>
      <c r="I180" s="2">
        <v>65</v>
      </c>
      <c r="J180" s="2">
        <v>69</v>
      </c>
      <c r="K180" s="2">
        <v>41</v>
      </c>
      <c r="L180" s="2">
        <v>1510</v>
      </c>
      <c r="M180" s="2">
        <v>14</v>
      </c>
      <c r="N180" s="2">
        <v>0</v>
      </c>
      <c r="O180" s="2">
        <v>4</v>
      </c>
      <c r="P180" s="2">
        <v>1</v>
      </c>
      <c r="Q180" s="2">
        <v>0</v>
      </c>
      <c r="R180" s="2">
        <v>76</v>
      </c>
      <c r="S180" s="2">
        <v>1</v>
      </c>
      <c r="T180" s="2">
        <v>3</v>
      </c>
      <c r="U180" s="2">
        <v>2</v>
      </c>
      <c r="V180" s="2">
        <v>1</v>
      </c>
      <c r="W180" s="2">
        <v>0</v>
      </c>
      <c r="X180" s="2">
        <v>61</v>
      </c>
      <c r="Y180">
        <f t="shared" si="4"/>
        <v>26</v>
      </c>
      <c r="Z180">
        <f t="shared" si="5"/>
        <v>5.2692307692307692</v>
      </c>
    </row>
    <row r="181" spans="1:26" x14ac:dyDescent="0.25">
      <c r="A181" t="s">
        <v>209</v>
      </c>
      <c r="B181" s="7">
        <v>40</v>
      </c>
      <c r="C181" s="8" t="s">
        <v>23</v>
      </c>
      <c r="D181" s="8" t="s">
        <v>27</v>
      </c>
      <c r="E181" s="2">
        <v>16.600000000000001</v>
      </c>
      <c r="F181" s="2">
        <v>19</v>
      </c>
      <c r="G181" s="2"/>
      <c r="H181" s="2"/>
      <c r="I181" s="2"/>
      <c r="J181" s="2"/>
      <c r="K181" s="2">
        <v>42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>
        <f t="shared" si="4"/>
        <v>0</v>
      </c>
      <c r="Z181" t="e">
        <f t="shared" si="5"/>
        <v>#DIV/0!</v>
      </c>
    </row>
    <row r="182" spans="1:26" x14ac:dyDescent="0.25">
      <c r="A182" t="s">
        <v>210</v>
      </c>
      <c r="B182" s="7">
        <v>21</v>
      </c>
      <c r="C182" s="8" t="s">
        <v>24</v>
      </c>
      <c r="D182" s="8" t="s">
        <v>27</v>
      </c>
      <c r="E182" s="2">
        <v>11.1</v>
      </c>
      <c r="F182" s="2">
        <v>18.399999999999999</v>
      </c>
      <c r="G182" s="2">
        <v>15</v>
      </c>
      <c r="H182" s="2">
        <v>78</v>
      </c>
      <c r="I182" s="2">
        <v>47</v>
      </c>
      <c r="J182" s="2">
        <v>54.3</v>
      </c>
      <c r="K182" s="2">
        <v>42</v>
      </c>
      <c r="L182" s="2">
        <v>1477</v>
      </c>
      <c r="M182" s="2">
        <v>5</v>
      </c>
      <c r="N182" s="2">
        <v>0</v>
      </c>
      <c r="O182" s="2">
        <v>0</v>
      </c>
      <c r="P182" s="2">
        <v>0</v>
      </c>
      <c r="Q182" s="2">
        <v>0</v>
      </c>
      <c r="R182" s="2">
        <v>21</v>
      </c>
      <c r="S182" s="2">
        <v>1</v>
      </c>
      <c r="T182" s="2">
        <v>0</v>
      </c>
      <c r="U182" s="2">
        <v>9</v>
      </c>
      <c r="V182" s="2">
        <v>0</v>
      </c>
      <c r="W182" s="2">
        <v>0</v>
      </c>
      <c r="X182" s="2">
        <v>50</v>
      </c>
      <c r="Y182">
        <f t="shared" si="4"/>
        <v>15</v>
      </c>
      <c r="Z182">
        <f t="shared" si="5"/>
        <v>4.7333333333333334</v>
      </c>
    </row>
    <row r="183" spans="1:26" x14ac:dyDescent="0.25">
      <c r="A183" t="s">
        <v>211</v>
      </c>
      <c r="B183" s="7">
        <v>22</v>
      </c>
      <c r="C183" s="8" t="s">
        <v>24</v>
      </c>
      <c r="D183" s="8" t="s">
        <v>27</v>
      </c>
      <c r="E183" s="2">
        <v>11.3</v>
      </c>
      <c r="F183" s="2">
        <v>18.2</v>
      </c>
      <c r="G183" s="2">
        <v>15</v>
      </c>
      <c r="H183" s="2"/>
      <c r="I183" s="2">
        <v>52</v>
      </c>
      <c r="J183" s="2"/>
      <c r="K183" s="2">
        <v>45</v>
      </c>
      <c r="L183" s="2">
        <v>144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>
        <f t="shared" si="4"/>
        <v>0</v>
      </c>
      <c r="Z183" t="e">
        <f t="shared" si="5"/>
        <v>#DIV/0!</v>
      </c>
    </row>
    <row r="184" spans="1:26" x14ac:dyDescent="0.25">
      <c r="A184" t="s">
        <v>212</v>
      </c>
      <c r="B184" s="7">
        <v>23</v>
      </c>
      <c r="C184" s="8" t="s">
        <v>24</v>
      </c>
      <c r="D184" s="8" t="s">
        <v>27</v>
      </c>
      <c r="E184" s="2">
        <v>15</v>
      </c>
      <c r="F184" s="2"/>
      <c r="G184" s="2"/>
      <c r="H184" s="2"/>
      <c r="I184" s="2"/>
      <c r="J184" s="2"/>
      <c r="K184" s="2">
        <v>40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>
        <f t="shared" si="4"/>
        <v>0</v>
      </c>
      <c r="Z184" t="e">
        <f t="shared" si="5"/>
        <v>#DIV/0!</v>
      </c>
    </row>
    <row r="185" spans="1:26" x14ac:dyDescent="0.25">
      <c r="A185" t="s">
        <v>213</v>
      </c>
      <c r="B185" s="7">
        <v>24</v>
      </c>
      <c r="C185" s="8" t="s">
        <v>24</v>
      </c>
      <c r="D185" s="8" t="s">
        <v>27</v>
      </c>
      <c r="E185" s="2">
        <v>9.6</v>
      </c>
      <c r="F185" s="2">
        <v>18</v>
      </c>
      <c r="G185" s="2">
        <v>14</v>
      </c>
      <c r="H185" s="2">
        <v>26</v>
      </c>
      <c r="I185" s="2">
        <v>34</v>
      </c>
      <c r="J185" s="2">
        <v>36</v>
      </c>
      <c r="K185" s="2">
        <v>44</v>
      </c>
      <c r="L185" s="2">
        <v>112</v>
      </c>
      <c r="M185" s="2">
        <v>2</v>
      </c>
      <c r="N185" s="2">
        <v>1</v>
      </c>
      <c r="O185" s="2">
        <v>0</v>
      </c>
      <c r="P185" s="2">
        <v>0</v>
      </c>
      <c r="Q185" s="2">
        <v>0</v>
      </c>
      <c r="R185" s="2" t="e">
        <v>#VALUE!</v>
      </c>
      <c r="S185" s="2">
        <v>1</v>
      </c>
      <c r="T185" s="2">
        <v>0</v>
      </c>
      <c r="U185" s="2">
        <v>0</v>
      </c>
      <c r="V185" s="2">
        <v>0</v>
      </c>
      <c r="W185" s="2">
        <v>0</v>
      </c>
      <c r="X185" s="2">
        <v>3</v>
      </c>
      <c r="Y185">
        <f t="shared" si="4"/>
        <v>4</v>
      </c>
      <c r="Z185" t="e">
        <f t="shared" si="5"/>
        <v>#VALUE!</v>
      </c>
    </row>
    <row r="186" spans="1:26" x14ac:dyDescent="0.25">
      <c r="A186" t="s">
        <v>214</v>
      </c>
      <c r="B186" s="7">
        <v>25</v>
      </c>
      <c r="C186" s="8" t="s">
        <v>24</v>
      </c>
      <c r="D186" s="8" t="s">
        <v>27</v>
      </c>
      <c r="E186" s="2">
        <v>22.5</v>
      </c>
      <c r="F186" s="2">
        <v>27.8</v>
      </c>
      <c r="G186" s="2">
        <v>245</v>
      </c>
      <c r="H186" s="2">
        <v>64</v>
      </c>
      <c r="I186" s="2">
        <v>60</v>
      </c>
      <c r="J186" s="2">
        <v>63.4</v>
      </c>
      <c r="K186" s="2">
        <v>45</v>
      </c>
      <c r="L186" s="2">
        <v>175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>
        <f t="shared" si="4"/>
        <v>0</v>
      </c>
      <c r="Z186" t="e">
        <f t="shared" si="5"/>
        <v>#DIV/0!</v>
      </c>
    </row>
    <row r="187" spans="1:26" x14ac:dyDescent="0.25">
      <c r="A187" t="s">
        <v>215</v>
      </c>
      <c r="B187" s="7">
        <v>26</v>
      </c>
      <c r="C187" s="8" t="s">
        <v>24</v>
      </c>
      <c r="D187" s="8" t="s">
        <v>27</v>
      </c>
      <c r="E187" s="2">
        <v>6.4</v>
      </c>
      <c r="F187" s="2">
        <v>18.7</v>
      </c>
      <c r="G187" s="2">
        <v>10</v>
      </c>
      <c r="H187" s="2"/>
      <c r="I187" s="2">
        <v>31.6</v>
      </c>
      <c r="J187" s="2"/>
      <c r="K187" s="2">
        <v>45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>
        <f t="shared" si="4"/>
        <v>0</v>
      </c>
      <c r="Z187" t="e">
        <f t="shared" si="5"/>
        <v>#DIV/0!</v>
      </c>
    </row>
    <row r="188" spans="1:26" x14ac:dyDescent="0.25">
      <c r="A188" t="s">
        <v>216</v>
      </c>
      <c r="B188" s="7">
        <v>27</v>
      </c>
      <c r="C188" s="8" t="s">
        <v>24</v>
      </c>
      <c r="D188" s="8" t="s">
        <v>27</v>
      </c>
      <c r="E188" s="2">
        <v>19.399999999999999</v>
      </c>
      <c r="F188" s="2">
        <v>23.7</v>
      </c>
      <c r="G188" s="2">
        <v>108</v>
      </c>
      <c r="H188" s="2">
        <v>172</v>
      </c>
      <c r="I188" s="2">
        <v>54</v>
      </c>
      <c r="J188" s="2">
        <v>60</v>
      </c>
      <c r="K188" s="2">
        <v>37</v>
      </c>
      <c r="L188" s="2">
        <v>1014</v>
      </c>
      <c r="M188" s="2">
        <v>1</v>
      </c>
      <c r="N188" s="2">
        <v>0</v>
      </c>
      <c r="O188" s="2">
        <v>3</v>
      </c>
      <c r="P188" s="2">
        <v>0</v>
      </c>
      <c r="Q188" s="2">
        <v>0</v>
      </c>
      <c r="R188" s="2">
        <v>12</v>
      </c>
      <c r="S188" s="2">
        <v>1</v>
      </c>
      <c r="T188" s="2">
        <v>3</v>
      </c>
      <c r="U188" s="2">
        <v>0</v>
      </c>
      <c r="V188" s="2">
        <v>0</v>
      </c>
      <c r="W188" s="2">
        <v>0</v>
      </c>
      <c r="X188" s="2">
        <v>53</v>
      </c>
      <c r="Y188">
        <f t="shared" si="4"/>
        <v>8</v>
      </c>
      <c r="Z188">
        <f t="shared" si="5"/>
        <v>8.125</v>
      </c>
    </row>
    <row r="189" spans="1:26" x14ac:dyDescent="0.25">
      <c r="A189" t="s">
        <v>217</v>
      </c>
      <c r="B189" s="7">
        <v>28</v>
      </c>
      <c r="C189" s="8" t="s">
        <v>24</v>
      </c>
      <c r="D189" s="8" t="s">
        <v>27</v>
      </c>
      <c r="E189" s="2">
        <v>21.1</v>
      </c>
      <c r="F189" s="2">
        <v>29.9</v>
      </c>
      <c r="G189" s="2">
        <v>123</v>
      </c>
      <c r="H189" s="2">
        <v>362</v>
      </c>
      <c r="I189" s="2">
        <v>68</v>
      </c>
      <c r="J189" s="2">
        <v>80</v>
      </c>
      <c r="K189" s="2">
        <v>38</v>
      </c>
      <c r="L189" s="2">
        <v>9713</v>
      </c>
      <c r="M189" s="2">
        <v>5</v>
      </c>
      <c r="N189" s="2">
        <v>0</v>
      </c>
      <c r="O189" s="2">
        <v>4</v>
      </c>
      <c r="P189" s="2">
        <v>2</v>
      </c>
      <c r="Q189" s="2">
        <v>0</v>
      </c>
      <c r="R189" s="2">
        <v>50</v>
      </c>
      <c r="S189" s="2"/>
      <c r="T189" s="2"/>
      <c r="U189" s="2"/>
      <c r="V189" s="2"/>
      <c r="W189" s="2"/>
      <c r="X189" s="2"/>
      <c r="Y189">
        <f t="shared" si="4"/>
        <v>11</v>
      </c>
      <c r="Z189">
        <f t="shared" si="5"/>
        <v>4.5454545454545459</v>
      </c>
    </row>
    <row r="190" spans="1:26" x14ac:dyDescent="0.25">
      <c r="A190" t="s">
        <v>218</v>
      </c>
      <c r="B190" s="7">
        <v>29</v>
      </c>
      <c r="C190" s="8" t="s">
        <v>24</v>
      </c>
      <c r="D190" s="8" t="s">
        <v>27</v>
      </c>
      <c r="E190" s="2">
        <v>21.4</v>
      </c>
      <c r="F190" s="2">
        <v>24</v>
      </c>
      <c r="G190" s="2">
        <v>25</v>
      </c>
      <c r="H190" s="2">
        <v>115</v>
      </c>
      <c r="I190" s="2">
        <v>45.3</v>
      </c>
      <c r="J190" s="2">
        <v>61.1</v>
      </c>
      <c r="K190" s="2">
        <v>35</v>
      </c>
      <c r="L190" s="2">
        <v>2110</v>
      </c>
      <c r="M190" s="2">
        <v>0</v>
      </c>
      <c r="N190" s="2">
        <v>0</v>
      </c>
      <c r="O190" s="2">
        <v>2</v>
      </c>
      <c r="P190" s="2">
        <v>0</v>
      </c>
      <c r="Q190" s="2">
        <v>0</v>
      </c>
      <c r="R190" s="2">
        <v>7</v>
      </c>
      <c r="S190" s="2">
        <v>8</v>
      </c>
      <c r="T190" s="2">
        <v>0</v>
      </c>
      <c r="U190" s="2">
        <v>1</v>
      </c>
      <c r="V190" s="2">
        <v>4</v>
      </c>
      <c r="W190" s="2">
        <v>1</v>
      </c>
      <c r="X190" s="2">
        <v>54</v>
      </c>
      <c r="Y190">
        <f t="shared" si="4"/>
        <v>16</v>
      </c>
      <c r="Z190">
        <f t="shared" si="5"/>
        <v>3.8125</v>
      </c>
    </row>
    <row r="191" spans="1:26" x14ac:dyDescent="0.25">
      <c r="A191" t="s">
        <v>219</v>
      </c>
      <c r="B191" s="7">
        <v>30</v>
      </c>
      <c r="C191" s="8" t="s">
        <v>24</v>
      </c>
      <c r="D191" s="8" t="s">
        <v>27</v>
      </c>
      <c r="E191" s="2">
        <v>16</v>
      </c>
      <c r="F191" s="2">
        <v>17</v>
      </c>
      <c r="G191" s="2">
        <v>102</v>
      </c>
      <c r="H191" s="2"/>
      <c r="I191" s="2">
        <v>45</v>
      </c>
      <c r="J191" s="2"/>
      <c r="K191" s="2">
        <v>39</v>
      </c>
      <c r="L191" s="2">
        <v>497</v>
      </c>
      <c r="M191" s="2">
        <v>0</v>
      </c>
      <c r="N191" s="2">
        <v>0</v>
      </c>
      <c r="O191" s="2">
        <v>5</v>
      </c>
      <c r="P191" s="2">
        <v>0</v>
      </c>
      <c r="Q191" s="2">
        <v>0</v>
      </c>
      <c r="R191" s="2">
        <v>41</v>
      </c>
      <c r="S191" s="2"/>
      <c r="T191" s="2"/>
      <c r="U191" s="2"/>
      <c r="V191" s="2"/>
      <c r="W191" s="2"/>
      <c r="X191" s="2"/>
      <c r="Y191">
        <f t="shared" si="4"/>
        <v>5</v>
      </c>
      <c r="Z191">
        <f t="shared" si="5"/>
        <v>8.1999999999999993</v>
      </c>
    </row>
    <row r="192" spans="1:26" x14ac:dyDescent="0.25">
      <c r="A192" t="s">
        <v>220</v>
      </c>
      <c r="B192" s="7">
        <v>31</v>
      </c>
      <c r="C192" s="8" t="s">
        <v>24</v>
      </c>
      <c r="D192" s="8" t="s">
        <v>27</v>
      </c>
      <c r="E192" s="2">
        <v>16.600000000000001</v>
      </c>
      <c r="F192" s="2">
        <v>20.3</v>
      </c>
      <c r="G192" s="2">
        <v>66</v>
      </c>
      <c r="H192" s="2">
        <v>30</v>
      </c>
      <c r="I192" s="2">
        <v>55.1</v>
      </c>
      <c r="J192" s="2">
        <v>59</v>
      </c>
      <c r="K192" s="2">
        <v>40</v>
      </c>
      <c r="L192" s="2">
        <v>700</v>
      </c>
      <c r="M192" s="2">
        <v>4</v>
      </c>
      <c r="N192" s="2">
        <v>0</v>
      </c>
      <c r="O192" s="2">
        <v>2</v>
      </c>
      <c r="P192" s="2">
        <v>0</v>
      </c>
      <c r="Q192" s="2">
        <v>0</v>
      </c>
      <c r="R192" s="2">
        <v>22</v>
      </c>
      <c r="S192" s="2">
        <v>1</v>
      </c>
      <c r="T192" s="2">
        <v>0</v>
      </c>
      <c r="U192" s="2">
        <v>2</v>
      </c>
      <c r="V192" s="2">
        <v>0</v>
      </c>
      <c r="W192" s="2">
        <v>0</v>
      </c>
      <c r="X192" s="2">
        <v>8</v>
      </c>
      <c r="Y192">
        <f t="shared" si="4"/>
        <v>9</v>
      </c>
      <c r="Z192">
        <f t="shared" si="5"/>
        <v>3.3333333333333335</v>
      </c>
    </row>
    <row r="193" spans="1:26" x14ac:dyDescent="0.25">
      <c r="A193" t="s">
        <v>221</v>
      </c>
      <c r="B193" s="7">
        <v>32</v>
      </c>
      <c r="C193" s="8" t="s">
        <v>24</v>
      </c>
      <c r="D193" s="8" t="s">
        <v>27</v>
      </c>
      <c r="E193" s="2">
        <v>15.5</v>
      </c>
      <c r="F193" s="2">
        <v>23.5</v>
      </c>
      <c r="G193" s="2">
        <v>78</v>
      </c>
      <c r="H193" s="2">
        <v>46</v>
      </c>
      <c r="I193" s="2">
        <v>36.5</v>
      </c>
      <c r="J193" s="2">
        <v>37</v>
      </c>
      <c r="K193" s="2">
        <v>48</v>
      </c>
      <c r="L193" s="2"/>
      <c r="M193" s="2">
        <v>1</v>
      </c>
      <c r="N193" s="2">
        <v>0</v>
      </c>
      <c r="O193" s="2">
        <v>4</v>
      </c>
      <c r="P193" s="2">
        <v>2</v>
      </c>
      <c r="Q193" s="2">
        <v>0</v>
      </c>
      <c r="R193" s="2">
        <v>42</v>
      </c>
      <c r="S193" s="2">
        <v>1</v>
      </c>
      <c r="T193" s="2">
        <v>0</v>
      </c>
      <c r="U193" s="2">
        <v>1</v>
      </c>
      <c r="V193" s="2">
        <v>0</v>
      </c>
      <c r="W193" s="2">
        <v>0</v>
      </c>
      <c r="X193" s="2">
        <v>9</v>
      </c>
      <c r="Y193">
        <f t="shared" si="4"/>
        <v>9</v>
      </c>
      <c r="Z193">
        <f t="shared" si="5"/>
        <v>5.666666666666667</v>
      </c>
    </row>
    <row r="194" spans="1:26" x14ac:dyDescent="0.25">
      <c r="A194" t="s">
        <v>222</v>
      </c>
      <c r="B194" s="7">
        <v>33</v>
      </c>
      <c r="C194" s="8" t="s">
        <v>24</v>
      </c>
      <c r="D194" s="8" t="s">
        <v>27</v>
      </c>
      <c r="E194" s="2">
        <v>18</v>
      </c>
      <c r="F194" s="2">
        <v>18</v>
      </c>
      <c r="G194" s="2">
        <v>88</v>
      </c>
      <c r="H194" s="2">
        <v>81</v>
      </c>
      <c r="I194" s="2">
        <v>68</v>
      </c>
      <c r="J194" s="2">
        <v>77</v>
      </c>
      <c r="K194" s="2">
        <v>38</v>
      </c>
      <c r="L194" s="2">
        <v>955</v>
      </c>
      <c r="M194" s="2">
        <v>3</v>
      </c>
      <c r="N194" s="2">
        <v>1</v>
      </c>
      <c r="O194" s="2">
        <v>0</v>
      </c>
      <c r="P194" s="2">
        <v>1</v>
      </c>
      <c r="Q194" s="2">
        <v>0</v>
      </c>
      <c r="R194" s="2">
        <v>25</v>
      </c>
      <c r="S194" s="2"/>
      <c r="T194" s="2"/>
      <c r="U194" s="2"/>
      <c r="V194" s="2"/>
      <c r="W194" s="2"/>
      <c r="X194" s="2"/>
      <c r="Y194">
        <f t="shared" si="4"/>
        <v>5</v>
      </c>
      <c r="Z194">
        <f t="shared" si="5"/>
        <v>5</v>
      </c>
    </row>
    <row r="195" spans="1:26" x14ac:dyDescent="0.25">
      <c r="A195" t="s">
        <v>223</v>
      </c>
      <c r="B195" s="7">
        <v>34</v>
      </c>
      <c r="C195" s="8" t="s">
        <v>24</v>
      </c>
      <c r="D195" s="8" t="s">
        <v>27</v>
      </c>
      <c r="E195" s="2">
        <v>19.100000000000001</v>
      </c>
      <c r="F195" s="2">
        <v>25</v>
      </c>
      <c r="G195" s="2">
        <v>57</v>
      </c>
      <c r="H195" s="2">
        <v>83</v>
      </c>
      <c r="I195" s="2">
        <v>37</v>
      </c>
      <c r="J195" s="2">
        <v>67</v>
      </c>
      <c r="K195" s="2">
        <v>35</v>
      </c>
      <c r="L195" s="2">
        <v>2728</v>
      </c>
      <c r="M195" s="2">
        <v>0</v>
      </c>
      <c r="N195" s="2">
        <v>1</v>
      </c>
      <c r="O195" s="2">
        <v>2</v>
      </c>
      <c r="P195" s="2">
        <v>0</v>
      </c>
      <c r="Q195" s="2">
        <v>0</v>
      </c>
      <c r="R195" s="2">
        <v>5</v>
      </c>
      <c r="S195" s="2">
        <v>5</v>
      </c>
      <c r="T195" s="2">
        <v>0</v>
      </c>
      <c r="U195" s="2">
        <v>1</v>
      </c>
      <c r="V195" s="2">
        <v>1</v>
      </c>
      <c r="W195" s="2">
        <v>0</v>
      </c>
      <c r="X195" s="2">
        <v>16</v>
      </c>
      <c r="Y195">
        <f t="shared" ref="Y195:Y258" si="6">SUM(M195:Q195,S195:W195)</f>
        <v>10</v>
      </c>
      <c r="Z195">
        <f t="shared" ref="Z195:Z258" si="7">(R195+X195) / (SUM(M195:Q195) + (SUM(S195:W195)))</f>
        <v>2.1</v>
      </c>
    </row>
    <row r="196" spans="1:26" x14ac:dyDescent="0.25">
      <c r="A196" t="s">
        <v>224</v>
      </c>
      <c r="B196" s="7">
        <v>35</v>
      </c>
      <c r="C196" s="8" t="s">
        <v>24</v>
      </c>
      <c r="D196" s="8" t="s">
        <v>27</v>
      </c>
      <c r="E196" s="2">
        <v>23</v>
      </c>
      <c r="F196" s="2">
        <v>32.6</v>
      </c>
      <c r="G196" s="2">
        <v>124</v>
      </c>
      <c r="H196" s="2">
        <v>450</v>
      </c>
      <c r="I196" s="2">
        <v>84.3</v>
      </c>
      <c r="J196" s="2">
        <v>90</v>
      </c>
      <c r="K196" s="2">
        <v>42</v>
      </c>
      <c r="L196" s="2">
        <v>1152</v>
      </c>
      <c r="M196" s="2">
        <v>3</v>
      </c>
      <c r="N196" s="2">
        <v>0</v>
      </c>
      <c r="O196" s="2">
        <v>1</v>
      </c>
      <c r="P196" s="2">
        <v>0</v>
      </c>
      <c r="Q196" s="2">
        <v>1</v>
      </c>
      <c r="R196" s="2">
        <v>13</v>
      </c>
      <c r="S196" s="2">
        <v>4</v>
      </c>
      <c r="T196" s="2">
        <v>1</v>
      </c>
      <c r="U196" s="2">
        <v>6</v>
      </c>
      <c r="V196" s="2">
        <v>0</v>
      </c>
      <c r="W196" s="2">
        <v>0</v>
      </c>
      <c r="X196" s="2">
        <v>65</v>
      </c>
      <c r="Y196">
        <f t="shared" si="6"/>
        <v>16</v>
      </c>
      <c r="Z196">
        <f t="shared" si="7"/>
        <v>4.875</v>
      </c>
    </row>
    <row r="197" spans="1:26" x14ac:dyDescent="0.25">
      <c r="A197" t="s">
        <v>225</v>
      </c>
      <c r="B197" s="7">
        <v>36</v>
      </c>
      <c r="C197" s="8" t="s">
        <v>24</v>
      </c>
      <c r="D197" s="8" t="s">
        <v>27</v>
      </c>
      <c r="E197" s="2">
        <v>19.8</v>
      </c>
      <c r="F197" s="2">
        <v>27.8</v>
      </c>
      <c r="G197" s="2">
        <v>27</v>
      </c>
      <c r="H197" s="2">
        <v>16</v>
      </c>
      <c r="I197" s="2">
        <v>39.5</v>
      </c>
      <c r="J197" s="2">
        <v>45</v>
      </c>
      <c r="K197" s="2">
        <v>35</v>
      </c>
      <c r="L197" s="2">
        <v>1244</v>
      </c>
      <c r="M197" s="2">
        <v>6</v>
      </c>
      <c r="N197" s="2">
        <v>0</v>
      </c>
      <c r="O197" s="2">
        <v>0</v>
      </c>
      <c r="P197" s="2">
        <v>0</v>
      </c>
      <c r="Q197" s="2">
        <v>0</v>
      </c>
      <c r="R197" s="2">
        <v>18</v>
      </c>
      <c r="S197" s="2">
        <v>4</v>
      </c>
      <c r="T197" s="2">
        <v>0</v>
      </c>
      <c r="U197" s="2">
        <v>0</v>
      </c>
      <c r="V197" s="2">
        <v>2</v>
      </c>
      <c r="W197" s="2">
        <v>2</v>
      </c>
      <c r="X197" s="2">
        <v>88</v>
      </c>
      <c r="Y197">
        <f t="shared" si="6"/>
        <v>14</v>
      </c>
      <c r="Z197">
        <f t="shared" si="7"/>
        <v>7.5714285714285712</v>
      </c>
    </row>
    <row r="198" spans="1:26" x14ac:dyDescent="0.25">
      <c r="A198" t="s">
        <v>226</v>
      </c>
      <c r="B198" s="7">
        <v>37</v>
      </c>
      <c r="C198" s="8" t="s">
        <v>24</v>
      </c>
      <c r="D198" s="8" t="s">
        <v>27</v>
      </c>
      <c r="E198" s="2">
        <v>21</v>
      </c>
      <c r="F198" s="2">
        <v>22.9</v>
      </c>
      <c r="G198" s="2">
        <v>56</v>
      </c>
      <c r="H198" s="2">
        <v>83</v>
      </c>
      <c r="I198" s="2">
        <v>61</v>
      </c>
      <c r="J198" s="2">
        <v>69.099999999999994</v>
      </c>
      <c r="K198" s="2">
        <v>34</v>
      </c>
      <c r="L198" s="2">
        <v>632</v>
      </c>
      <c r="M198" s="2">
        <v>1</v>
      </c>
      <c r="N198" s="2">
        <v>1</v>
      </c>
      <c r="O198" s="2">
        <v>2</v>
      </c>
      <c r="P198" s="2">
        <v>0</v>
      </c>
      <c r="Q198" s="2">
        <v>0</v>
      </c>
      <c r="R198" s="2">
        <v>15</v>
      </c>
      <c r="S198" s="2">
        <v>4</v>
      </c>
      <c r="T198" s="2">
        <v>0</v>
      </c>
      <c r="U198" s="2">
        <v>2</v>
      </c>
      <c r="V198" s="2">
        <v>1</v>
      </c>
      <c r="W198" s="2">
        <v>0</v>
      </c>
      <c r="X198" s="2">
        <v>14</v>
      </c>
      <c r="Y198">
        <f t="shared" si="6"/>
        <v>11</v>
      </c>
      <c r="Z198">
        <f t="shared" si="7"/>
        <v>2.6363636363636362</v>
      </c>
    </row>
    <row r="199" spans="1:26" x14ac:dyDescent="0.25">
      <c r="A199" t="s">
        <v>227</v>
      </c>
      <c r="B199" s="7">
        <v>38</v>
      </c>
      <c r="C199" s="8" t="s">
        <v>24</v>
      </c>
      <c r="D199" s="8" t="s">
        <v>27</v>
      </c>
      <c r="E199" s="2">
        <v>23.5</v>
      </c>
      <c r="F199" s="2">
        <v>26.5</v>
      </c>
      <c r="G199" s="2">
        <v>108</v>
      </c>
      <c r="H199" s="2"/>
      <c r="I199" s="2">
        <v>74</v>
      </c>
      <c r="J199" s="2"/>
      <c r="K199" s="2">
        <v>38</v>
      </c>
      <c r="L199" s="2">
        <v>5226</v>
      </c>
      <c r="M199" s="2">
        <v>6</v>
      </c>
      <c r="N199" s="2">
        <v>1</v>
      </c>
      <c r="O199" s="2">
        <v>6</v>
      </c>
      <c r="P199" s="2">
        <v>1</v>
      </c>
      <c r="Q199" s="2">
        <v>0</v>
      </c>
      <c r="R199" s="2">
        <v>103</v>
      </c>
      <c r="S199" s="2"/>
      <c r="T199" s="2"/>
      <c r="U199" s="2"/>
      <c r="V199" s="2"/>
      <c r="W199" s="2"/>
      <c r="X199" s="2"/>
      <c r="Y199">
        <f t="shared" si="6"/>
        <v>14</v>
      </c>
      <c r="Z199">
        <f t="shared" si="7"/>
        <v>7.3571428571428568</v>
      </c>
    </row>
    <row r="200" spans="1:26" x14ac:dyDescent="0.25">
      <c r="A200" t="s">
        <v>228</v>
      </c>
      <c r="B200" s="7">
        <v>39</v>
      </c>
      <c r="C200" s="8" t="s">
        <v>24</v>
      </c>
      <c r="D200" s="8" t="s">
        <v>27</v>
      </c>
      <c r="E200" s="2">
        <v>13.5</v>
      </c>
      <c r="F200" s="2">
        <v>18.2</v>
      </c>
      <c r="G200" s="2">
        <v>26</v>
      </c>
      <c r="H200" s="2">
        <v>46</v>
      </c>
      <c r="I200" s="2">
        <v>46.3</v>
      </c>
      <c r="J200" s="2">
        <v>53.5</v>
      </c>
      <c r="K200" s="2">
        <v>35</v>
      </c>
      <c r="L200" s="2">
        <v>592</v>
      </c>
      <c r="M200" s="2">
        <v>1</v>
      </c>
      <c r="N200" s="2">
        <v>1</v>
      </c>
      <c r="O200" s="2">
        <v>4</v>
      </c>
      <c r="P200" s="2">
        <v>0</v>
      </c>
      <c r="Q200" s="2">
        <v>1</v>
      </c>
      <c r="R200" s="2">
        <v>22</v>
      </c>
      <c r="S200" s="2">
        <v>1</v>
      </c>
      <c r="T200" s="2">
        <v>0</v>
      </c>
      <c r="U200" s="2">
        <v>1</v>
      </c>
      <c r="V200" s="2">
        <v>0</v>
      </c>
      <c r="W200" s="2">
        <v>0</v>
      </c>
      <c r="X200" s="2">
        <v>7</v>
      </c>
      <c r="Y200">
        <f t="shared" si="6"/>
        <v>9</v>
      </c>
      <c r="Z200">
        <f t="shared" si="7"/>
        <v>3.2222222222222223</v>
      </c>
    </row>
    <row r="201" spans="1:26" x14ac:dyDescent="0.25">
      <c r="A201" t="s">
        <v>229</v>
      </c>
      <c r="B201" s="7">
        <v>40</v>
      </c>
      <c r="C201" s="8" t="s">
        <v>24</v>
      </c>
      <c r="D201" s="8" t="s">
        <v>27</v>
      </c>
      <c r="E201" s="2">
        <v>19.600000000000001</v>
      </c>
      <c r="F201" s="2">
        <v>39</v>
      </c>
      <c r="G201" s="2">
        <v>120</v>
      </c>
      <c r="H201" s="2">
        <v>229</v>
      </c>
      <c r="I201" s="2">
        <v>65</v>
      </c>
      <c r="J201" s="2">
        <v>73</v>
      </c>
      <c r="K201" s="2">
        <v>34</v>
      </c>
      <c r="L201" s="2">
        <v>1536</v>
      </c>
      <c r="M201" s="2">
        <v>0</v>
      </c>
      <c r="N201" s="2">
        <v>1</v>
      </c>
      <c r="O201" s="2">
        <v>2</v>
      </c>
      <c r="P201" s="2">
        <v>0</v>
      </c>
      <c r="Q201" s="2">
        <v>0</v>
      </c>
      <c r="R201" s="2">
        <v>18</v>
      </c>
      <c r="S201" s="2">
        <v>29</v>
      </c>
      <c r="T201" s="2">
        <v>0</v>
      </c>
      <c r="U201" s="2">
        <v>1</v>
      </c>
      <c r="V201" s="2">
        <v>1</v>
      </c>
      <c r="W201" s="2">
        <v>1</v>
      </c>
      <c r="X201" s="2">
        <v>98</v>
      </c>
      <c r="Y201">
        <f t="shared" si="6"/>
        <v>35</v>
      </c>
      <c r="Z201">
        <f t="shared" si="7"/>
        <v>3.3142857142857145</v>
      </c>
    </row>
    <row r="202" spans="1:26" x14ac:dyDescent="0.25">
      <c r="A202" t="s">
        <v>230</v>
      </c>
      <c r="B202" s="7">
        <v>21</v>
      </c>
      <c r="C202" s="8" t="s">
        <v>25</v>
      </c>
      <c r="D202" s="8" t="s">
        <v>27</v>
      </c>
      <c r="E202" s="2">
        <v>19</v>
      </c>
      <c r="F202" s="2">
        <v>24</v>
      </c>
      <c r="G202" s="2">
        <v>47</v>
      </c>
      <c r="H202" s="2">
        <v>107</v>
      </c>
      <c r="I202" s="2">
        <v>52.1</v>
      </c>
      <c r="J202" s="2">
        <v>62</v>
      </c>
      <c r="K202" s="2">
        <v>36</v>
      </c>
      <c r="L202" s="2">
        <v>1739</v>
      </c>
      <c r="M202" s="2">
        <v>1</v>
      </c>
      <c r="N202" s="2">
        <v>1</v>
      </c>
      <c r="O202" s="2">
        <v>1</v>
      </c>
      <c r="P202" s="2">
        <v>2</v>
      </c>
      <c r="Q202" s="2">
        <v>0</v>
      </c>
      <c r="R202" s="2">
        <v>17</v>
      </c>
      <c r="S202" s="2">
        <v>2</v>
      </c>
      <c r="T202" s="2">
        <v>0</v>
      </c>
      <c r="U202" s="2">
        <v>0</v>
      </c>
      <c r="V202" s="2">
        <v>0</v>
      </c>
      <c r="W202" s="2">
        <v>1</v>
      </c>
      <c r="X202" s="2">
        <v>9</v>
      </c>
      <c r="Y202">
        <f t="shared" si="6"/>
        <v>8</v>
      </c>
      <c r="Z202">
        <f t="shared" si="7"/>
        <v>3.25</v>
      </c>
    </row>
    <row r="203" spans="1:26" x14ac:dyDescent="0.25">
      <c r="A203" t="s">
        <v>231</v>
      </c>
      <c r="B203" s="7">
        <v>22</v>
      </c>
      <c r="C203" s="8" t="s">
        <v>25</v>
      </c>
      <c r="D203" s="8" t="s">
        <v>27</v>
      </c>
      <c r="E203" s="2">
        <v>17.5</v>
      </c>
      <c r="F203" s="2">
        <v>16.5</v>
      </c>
      <c r="G203" s="2">
        <v>57</v>
      </c>
      <c r="H203" s="2">
        <v>66</v>
      </c>
      <c r="I203" s="2">
        <v>56</v>
      </c>
      <c r="J203" s="2">
        <v>64</v>
      </c>
      <c r="K203" s="2">
        <v>33</v>
      </c>
      <c r="L203" s="2">
        <v>248</v>
      </c>
      <c r="M203" s="2">
        <v>0</v>
      </c>
      <c r="N203" s="2">
        <v>4</v>
      </c>
      <c r="O203" s="2">
        <v>1</v>
      </c>
      <c r="P203" s="2">
        <v>0</v>
      </c>
      <c r="Q203" s="2">
        <v>0</v>
      </c>
      <c r="R203" s="2">
        <v>25</v>
      </c>
      <c r="S203" s="2">
        <v>5</v>
      </c>
      <c r="T203" s="2">
        <v>0</v>
      </c>
      <c r="U203" s="2">
        <v>0</v>
      </c>
      <c r="V203" s="2">
        <v>1</v>
      </c>
      <c r="W203" s="2">
        <v>1</v>
      </c>
      <c r="X203" s="2">
        <v>24</v>
      </c>
      <c r="Y203">
        <f t="shared" si="6"/>
        <v>12</v>
      </c>
      <c r="Z203">
        <f t="shared" si="7"/>
        <v>4.083333333333333</v>
      </c>
    </row>
    <row r="204" spans="1:26" x14ac:dyDescent="0.25">
      <c r="A204" t="s">
        <v>232</v>
      </c>
      <c r="B204" s="7">
        <v>23</v>
      </c>
      <c r="C204" s="8" t="s">
        <v>25</v>
      </c>
      <c r="D204" s="8" t="s">
        <v>27</v>
      </c>
      <c r="E204" s="2">
        <v>19</v>
      </c>
      <c r="F204" s="2">
        <v>28.3</v>
      </c>
      <c r="G204" s="2"/>
      <c r="H204" s="2"/>
      <c r="I204" s="2"/>
      <c r="J204" s="2"/>
      <c r="K204" s="2">
        <v>33</v>
      </c>
      <c r="L204" s="2">
        <v>1190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>
        <f t="shared" si="6"/>
        <v>0</v>
      </c>
      <c r="Z204" t="e">
        <f t="shared" si="7"/>
        <v>#DIV/0!</v>
      </c>
    </row>
    <row r="205" spans="1:26" x14ac:dyDescent="0.25">
      <c r="A205" t="s">
        <v>233</v>
      </c>
      <c r="B205" s="7">
        <v>24</v>
      </c>
      <c r="C205" s="8" t="s">
        <v>25</v>
      </c>
      <c r="D205" s="8" t="s">
        <v>27</v>
      </c>
      <c r="E205" s="2">
        <v>16.5</v>
      </c>
      <c r="F205" s="2">
        <v>29.9</v>
      </c>
      <c r="G205" s="2">
        <v>63</v>
      </c>
      <c r="H205" s="2">
        <v>90</v>
      </c>
      <c r="I205" s="2">
        <v>53</v>
      </c>
      <c r="J205" s="2">
        <v>72</v>
      </c>
      <c r="K205" s="2">
        <v>32</v>
      </c>
      <c r="L205" s="2">
        <v>2019</v>
      </c>
      <c r="M205" s="2">
        <v>3</v>
      </c>
      <c r="N205" s="2">
        <v>0</v>
      </c>
      <c r="O205" s="2">
        <v>2</v>
      </c>
      <c r="P205" s="2">
        <v>0</v>
      </c>
      <c r="Q205" s="2">
        <v>1</v>
      </c>
      <c r="R205" s="2">
        <v>13</v>
      </c>
      <c r="S205" s="2">
        <v>3</v>
      </c>
      <c r="T205" s="2">
        <v>0</v>
      </c>
      <c r="U205" s="2">
        <v>0</v>
      </c>
      <c r="V205" s="2">
        <v>0</v>
      </c>
      <c r="W205" s="2">
        <v>0</v>
      </c>
      <c r="X205" s="2">
        <v>7</v>
      </c>
      <c r="Y205">
        <f t="shared" si="6"/>
        <v>9</v>
      </c>
      <c r="Z205">
        <f t="shared" si="7"/>
        <v>2.2222222222222223</v>
      </c>
    </row>
    <row r="206" spans="1:26" x14ac:dyDescent="0.25">
      <c r="A206" t="s">
        <v>234</v>
      </c>
      <c r="B206" s="7">
        <v>25</v>
      </c>
      <c r="C206" s="8" t="s">
        <v>25</v>
      </c>
      <c r="D206" s="8" t="s">
        <v>27</v>
      </c>
      <c r="E206" s="2">
        <v>19.600000000000001</v>
      </c>
      <c r="F206" s="2">
        <v>21.6</v>
      </c>
      <c r="G206" s="2">
        <v>26</v>
      </c>
      <c r="H206" s="2">
        <v>79</v>
      </c>
      <c r="I206" s="2">
        <v>43.2</v>
      </c>
      <c r="J206" s="2">
        <v>55</v>
      </c>
      <c r="K206" s="2">
        <v>33</v>
      </c>
      <c r="L206" s="2">
        <v>1092</v>
      </c>
      <c r="M206" s="2">
        <v>3</v>
      </c>
      <c r="N206" s="2">
        <v>1</v>
      </c>
      <c r="O206" s="2">
        <v>1</v>
      </c>
      <c r="P206" s="2">
        <v>0</v>
      </c>
      <c r="Q206" s="2">
        <v>1</v>
      </c>
      <c r="R206" s="2">
        <v>18</v>
      </c>
      <c r="S206" s="2">
        <v>4</v>
      </c>
      <c r="T206" s="2">
        <v>0</v>
      </c>
      <c r="U206" s="2">
        <v>2</v>
      </c>
      <c r="V206" s="2">
        <v>1</v>
      </c>
      <c r="W206" s="2">
        <v>0</v>
      </c>
      <c r="X206" s="2">
        <v>18</v>
      </c>
      <c r="Y206">
        <f t="shared" si="6"/>
        <v>13</v>
      </c>
      <c r="Z206">
        <f t="shared" si="7"/>
        <v>2.7692307692307692</v>
      </c>
    </row>
    <row r="207" spans="1:26" x14ac:dyDescent="0.25">
      <c r="A207" t="s">
        <v>235</v>
      </c>
      <c r="B207" s="7">
        <v>26</v>
      </c>
      <c r="C207" s="8" t="s">
        <v>25</v>
      </c>
      <c r="D207" s="8" t="s">
        <v>27</v>
      </c>
      <c r="E207" s="2">
        <v>9</v>
      </c>
      <c r="F207" s="2"/>
      <c r="G207" s="2">
        <v>22</v>
      </c>
      <c r="H207" s="2"/>
      <c r="I207" s="2">
        <v>29</v>
      </c>
      <c r="J207" s="2"/>
      <c r="K207" s="2">
        <v>38</v>
      </c>
      <c r="L207" s="2">
        <v>3169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>
        <f t="shared" si="6"/>
        <v>0</v>
      </c>
      <c r="Z207" t="e">
        <f t="shared" si="7"/>
        <v>#DIV/0!</v>
      </c>
    </row>
    <row r="208" spans="1:26" x14ac:dyDescent="0.25">
      <c r="A208" t="s">
        <v>236</v>
      </c>
      <c r="B208" s="7">
        <v>27</v>
      </c>
      <c r="C208" s="8" t="s">
        <v>25</v>
      </c>
      <c r="D208" s="8" t="s">
        <v>27</v>
      </c>
      <c r="E208" s="2">
        <v>14.2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>
        <f t="shared" si="6"/>
        <v>0</v>
      </c>
      <c r="Z208" t="e">
        <f t="shared" si="7"/>
        <v>#DIV/0!</v>
      </c>
    </row>
    <row r="209" spans="1:26" x14ac:dyDescent="0.25">
      <c r="A209" t="s">
        <v>237</v>
      </c>
      <c r="B209" s="7">
        <v>28</v>
      </c>
      <c r="C209" s="8" t="s">
        <v>25</v>
      </c>
      <c r="D209" s="8" t="s">
        <v>27</v>
      </c>
      <c r="E209" s="2">
        <v>17.899999999999999</v>
      </c>
      <c r="F209" s="2">
        <v>29.3</v>
      </c>
      <c r="G209" s="2">
        <v>92</v>
      </c>
      <c r="H209" s="2">
        <v>450</v>
      </c>
      <c r="I209" s="2">
        <v>52.5</v>
      </c>
      <c r="J209" s="2">
        <v>61</v>
      </c>
      <c r="K209" s="2">
        <v>40</v>
      </c>
      <c r="L209" s="2">
        <v>5501</v>
      </c>
      <c r="M209" s="2"/>
      <c r="N209" s="2"/>
      <c r="O209" s="2"/>
      <c r="P209" s="2"/>
      <c r="Q209" s="2"/>
      <c r="R209" s="2"/>
      <c r="S209" s="2">
        <v>8</v>
      </c>
      <c r="T209" s="2">
        <v>0</v>
      </c>
      <c r="U209" s="2">
        <v>2</v>
      </c>
      <c r="V209" s="2">
        <v>0</v>
      </c>
      <c r="W209" s="2">
        <v>1</v>
      </c>
      <c r="X209" s="2">
        <v>31</v>
      </c>
      <c r="Y209">
        <f t="shared" si="6"/>
        <v>11</v>
      </c>
      <c r="Z209">
        <f t="shared" si="7"/>
        <v>2.8181818181818183</v>
      </c>
    </row>
    <row r="210" spans="1:26" x14ac:dyDescent="0.25">
      <c r="A210" t="s">
        <v>238</v>
      </c>
      <c r="B210" s="7">
        <v>29</v>
      </c>
      <c r="C210" s="8" t="s">
        <v>25</v>
      </c>
      <c r="D210" s="8" t="s">
        <v>27</v>
      </c>
      <c r="E210" s="2">
        <v>15</v>
      </c>
      <c r="F210" s="2">
        <v>20.399999999999999</v>
      </c>
      <c r="G210" s="2">
        <v>39</v>
      </c>
      <c r="H210" s="2">
        <v>106</v>
      </c>
      <c r="I210" s="2">
        <v>41</v>
      </c>
      <c r="J210" s="2">
        <v>47</v>
      </c>
      <c r="K210" s="2">
        <v>32</v>
      </c>
      <c r="L210" s="2">
        <v>3096</v>
      </c>
      <c r="M210" s="2">
        <v>0</v>
      </c>
      <c r="N210" s="2">
        <v>4</v>
      </c>
      <c r="O210" s="2">
        <v>2</v>
      </c>
      <c r="P210" s="2">
        <v>1</v>
      </c>
      <c r="Q210" s="2">
        <v>1</v>
      </c>
      <c r="R210" s="2">
        <v>22</v>
      </c>
      <c r="S210" s="2">
        <v>6</v>
      </c>
      <c r="T210" s="2">
        <v>0</v>
      </c>
      <c r="U210" s="2">
        <v>0</v>
      </c>
      <c r="V210" s="2">
        <v>0</v>
      </c>
      <c r="W210" s="2">
        <v>1</v>
      </c>
      <c r="X210" s="2">
        <v>42</v>
      </c>
      <c r="Y210">
        <f t="shared" si="6"/>
        <v>15</v>
      </c>
      <c r="Z210">
        <f t="shared" si="7"/>
        <v>4.2666666666666666</v>
      </c>
    </row>
    <row r="211" spans="1:26" x14ac:dyDescent="0.25">
      <c r="A211" t="s">
        <v>239</v>
      </c>
      <c r="B211" s="7">
        <v>30</v>
      </c>
      <c r="C211" s="8" t="s">
        <v>25</v>
      </c>
      <c r="D211" s="8" t="s">
        <v>27</v>
      </c>
      <c r="E211" s="2">
        <v>11</v>
      </c>
      <c r="F211" s="2">
        <v>18.2</v>
      </c>
      <c r="G211" s="2">
        <v>18</v>
      </c>
      <c r="H211" s="2">
        <v>5</v>
      </c>
      <c r="I211" s="2">
        <v>36</v>
      </c>
      <c r="J211" s="2">
        <v>36.200000000000003</v>
      </c>
      <c r="K211" s="2">
        <v>40</v>
      </c>
      <c r="L211" s="2"/>
      <c r="M211" s="2">
        <v>2</v>
      </c>
      <c r="N211" s="2">
        <v>0</v>
      </c>
      <c r="O211" s="2">
        <v>0</v>
      </c>
      <c r="P211" s="2">
        <v>0</v>
      </c>
      <c r="Q211" s="2">
        <v>0</v>
      </c>
      <c r="R211" s="2">
        <v>5</v>
      </c>
      <c r="S211" s="2"/>
      <c r="T211" s="2"/>
      <c r="U211" s="2"/>
      <c r="V211" s="2"/>
      <c r="W211" s="2"/>
      <c r="X211" s="2"/>
      <c r="Y211">
        <f t="shared" si="6"/>
        <v>2</v>
      </c>
      <c r="Z211">
        <f t="shared" si="7"/>
        <v>2.5</v>
      </c>
    </row>
    <row r="212" spans="1:26" x14ac:dyDescent="0.25">
      <c r="A212" t="s">
        <v>240</v>
      </c>
      <c r="B212" s="7">
        <v>31</v>
      </c>
      <c r="C212" s="8" t="s">
        <v>25</v>
      </c>
      <c r="D212" s="8" t="s">
        <v>27</v>
      </c>
      <c r="E212" s="2">
        <v>11</v>
      </c>
      <c r="F212" s="2">
        <v>31</v>
      </c>
      <c r="G212" s="2">
        <v>22</v>
      </c>
      <c r="H212" s="2"/>
      <c r="I212" s="2">
        <v>48.1</v>
      </c>
      <c r="J212" s="2"/>
      <c r="K212" s="2">
        <v>41</v>
      </c>
      <c r="L212" s="2">
        <v>167</v>
      </c>
      <c r="M212" s="2">
        <v>4</v>
      </c>
      <c r="N212" s="2">
        <v>0</v>
      </c>
      <c r="O212" s="2">
        <v>1</v>
      </c>
      <c r="P212" s="2">
        <v>1</v>
      </c>
      <c r="Q212" s="2">
        <v>1</v>
      </c>
      <c r="R212" s="2">
        <v>21</v>
      </c>
      <c r="S212" s="2"/>
      <c r="T212" s="2"/>
      <c r="U212" s="2"/>
      <c r="V212" s="2"/>
      <c r="W212" s="2"/>
      <c r="X212" s="2"/>
      <c r="Y212">
        <f t="shared" si="6"/>
        <v>7</v>
      </c>
      <c r="Z212">
        <f t="shared" si="7"/>
        <v>3</v>
      </c>
    </row>
    <row r="213" spans="1:26" x14ac:dyDescent="0.25">
      <c r="A213" t="s">
        <v>241</v>
      </c>
      <c r="B213" s="7">
        <v>32</v>
      </c>
      <c r="C213" s="8" t="s">
        <v>25</v>
      </c>
      <c r="D213" s="8" t="s">
        <v>27</v>
      </c>
      <c r="E213" s="2">
        <v>17.399999999999999</v>
      </c>
      <c r="F213" s="2">
        <v>23</v>
      </c>
      <c r="G213" s="2">
        <v>95</v>
      </c>
      <c r="H213" s="2">
        <v>30</v>
      </c>
      <c r="I213" s="2">
        <v>64</v>
      </c>
      <c r="J213" s="2">
        <v>62</v>
      </c>
      <c r="K213" s="2">
        <v>38</v>
      </c>
      <c r="L213" s="2">
        <v>1031</v>
      </c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2</v>
      </c>
      <c r="S213" s="2"/>
      <c r="T213" s="2"/>
      <c r="U213" s="2"/>
      <c r="V213" s="2"/>
      <c r="W213" s="2"/>
      <c r="X213" s="2"/>
      <c r="Y213">
        <f t="shared" si="6"/>
        <v>1</v>
      </c>
      <c r="Z213">
        <f t="shared" si="7"/>
        <v>2</v>
      </c>
    </row>
    <row r="214" spans="1:26" x14ac:dyDescent="0.25">
      <c r="A214" t="s">
        <v>242</v>
      </c>
      <c r="B214" s="7">
        <v>33</v>
      </c>
      <c r="C214" s="8" t="s">
        <v>25</v>
      </c>
      <c r="D214" s="8" t="s">
        <v>27</v>
      </c>
      <c r="E214" s="2">
        <v>14.2</v>
      </c>
      <c r="F214" s="2"/>
      <c r="G214" s="2"/>
      <c r="H214" s="2"/>
      <c r="I214" s="2"/>
      <c r="J214" s="2"/>
      <c r="K214" s="2">
        <v>40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>
        <f t="shared" si="6"/>
        <v>0</v>
      </c>
      <c r="Z214" t="e">
        <f t="shared" si="7"/>
        <v>#DIV/0!</v>
      </c>
    </row>
    <row r="215" spans="1:26" x14ac:dyDescent="0.25">
      <c r="A215" t="s">
        <v>243</v>
      </c>
      <c r="B215" s="7">
        <v>34</v>
      </c>
      <c r="C215" s="8" t="s">
        <v>25</v>
      </c>
      <c r="D215" s="8" t="s">
        <v>27</v>
      </c>
      <c r="E215" s="2">
        <v>18.7</v>
      </c>
      <c r="F215" s="2">
        <v>16.5</v>
      </c>
      <c r="G215" s="2">
        <v>6</v>
      </c>
      <c r="H215" s="2">
        <v>13</v>
      </c>
      <c r="I215" s="2">
        <v>39</v>
      </c>
      <c r="J215" s="2">
        <v>39.200000000000003</v>
      </c>
      <c r="K215" s="2">
        <v>27</v>
      </c>
      <c r="L215" s="2">
        <v>1171</v>
      </c>
      <c r="M215" s="2">
        <v>0</v>
      </c>
      <c r="N215" s="2">
        <v>0</v>
      </c>
      <c r="O215" s="2">
        <v>0</v>
      </c>
      <c r="P215" s="2">
        <v>1</v>
      </c>
      <c r="Q215" s="2">
        <v>0</v>
      </c>
      <c r="R215" s="2">
        <v>3</v>
      </c>
      <c r="S215" s="2">
        <v>0</v>
      </c>
      <c r="T215" s="2">
        <v>0</v>
      </c>
      <c r="U215" s="2">
        <v>2</v>
      </c>
      <c r="V215" s="2">
        <v>0</v>
      </c>
      <c r="W215" s="2">
        <v>0</v>
      </c>
      <c r="X215" s="2">
        <v>11</v>
      </c>
      <c r="Y215">
        <f t="shared" si="6"/>
        <v>3</v>
      </c>
      <c r="Z215">
        <f t="shared" si="7"/>
        <v>4.666666666666667</v>
      </c>
    </row>
    <row r="216" spans="1:26" x14ac:dyDescent="0.25">
      <c r="A216" t="s">
        <v>244</v>
      </c>
      <c r="B216" s="7">
        <v>35</v>
      </c>
      <c r="C216" s="8" t="s">
        <v>25</v>
      </c>
      <c r="D216" s="8" t="s">
        <v>27</v>
      </c>
      <c r="E216" s="2">
        <v>16.2</v>
      </c>
      <c r="F216" s="2">
        <v>24.5</v>
      </c>
      <c r="G216" s="2">
        <v>77</v>
      </c>
      <c r="H216" s="2">
        <v>59</v>
      </c>
      <c r="I216" s="2">
        <v>66</v>
      </c>
      <c r="J216" s="2">
        <v>78</v>
      </c>
      <c r="K216" s="2">
        <v>40</v>
      </c>
      <c r="L216" s="2">
        <v>1352</v>
      </c>
      <c r="M216" s="2">
        <v>11</v>
      </c>
      <c r="N216" s="2">
        <v>1</v>
      </c>
      <c r="O216" s="2">
        <v>1</v>
      </c>
      <c r="P216" s="2">
        <v>0</v>
      </c>
      <c r="Q216" s="2">
        <v>1</v>
      </c>
      <c r="R216" s="2">
        <v>57</v>
      </c>
      <c r="S216" s="2">
        <v>1</v>
      </c>
      <c r="T216" s="2">
        <v>1</v>
      </c>
      <c r="U216" s="2">
        <v>2</v>
      </c>
      <c r="V216" s="2">
        <v>0</v>
      </c>
      <c r="W216" s="2">
        <v>0</v>
      </c>
      <c r="X216" s="2">
        <v>12</v>
      </c>
      <c r="Y216">
        <f t="shared" si="6"/>
        <v>18</v>
      </c>
      <c r="Z216">
        <f t="shared" si="7"/>
        <v>3.8333333333333335</v>
      </c>
    </row>
    <row r="217" spans="1:26" x14ac:dyDescent="0.25">
      <c r="A217" t="s">
        <v>245</v>
      </c>
      <c r="B217" s="7">
        <v>36</v>
      </c>
      <c r="C217" s="8" t="s">
        <v>25</v>
      </c>
      <c r="D217" s="8" t="s">
        <v>27</v>
      </c>
      <c r="E217" s="2">
        <v>20.399999999999999</v>
      </c>
      <c r="F217" s="2">
        <v>26</v>
      </c>
      <c r="G217" s="2">
        <v>59</v>
      </c>
      <c r="H217" s="2">
        <v>210</v>
      </c>
      <c r="I217" s="2">
        <v>73.2</v>
      </c>
      <c r="J217" s="2">
        <v>80</v>
      </c>
      <c r="K217" s="2">
        <v>43</v>
      </c>
      <c r="L217" s="2">
        <v>1777</v>
      </c>
      <c r="M217" s="2">
        <v>2</v>
      </c>
      <c r="N217" s="2">
        <v>0</v>
      </c>
      <c r="O217" s="2">
        <v>2</v>
      </c>
      <c r="P217" s="2">
        <v>0</v>
      </c>
      <c r="Q217" s="2">
        <v>0</v>
      </c>
      <c r="R217" s="2">
        <v>17</v>
      </c>
      <c r="S217" s="2">
        <v>2</v>
      </c>
      <c r="T217" s="2">
        <v>4</v>
      </c>
      <c r="U217" s="2">
        <v>2</v>
      </c>
      <c r="V217" s="2">
        <v>0</v>
      </c>
      <c r="W217" s="2">
        <v>0</v>
      </c>
      <c r="X217" s="2">
        <v>32</v>
      </c>
      <c r="Y217">
        <f t="shared" si="6"/>
        <v>12</v>
      </c>
      <c r="Z217">
        <f t="shared" si="7"/>
        <v>4.083333333333333</v>
      </c>
    </row>
    <row r="218" spans="1:26" x14ac:dyDescent="0.25">
      <c r="A218" t="s">
        <v>246</v>
      </c>
      <c r="B218" s="7">
        <v>37</v>
      </c>
      <c r="C218" s="8" t="s">
        <v>25</v>
      </c>
      <c r="D218" s="8" t="s">
        <v>27</v>
      </c>
      <c r="E218" s="2">
        <v>15.3</v>
      </c>
      <c r="F218" s="2">
        <v>20.7</v>
      </c>
      <c r="G218" s="2">
        <v>44</v>
      </c>
      <c r="H218" s="2"/>
      <c r="I218" s="2">
        <v>61</v>
      </c>
      <c r="J218" s="2"/>
      <c r="K218" s="2">
        <v>38</v>
      </c>
      <c r="L218" s="2">
        <v>2790</v>
      </c>
      <c r="M218" s="2">
        <v>2</v>
      </c>
      <c r="N218" s="2">
        <v>0</v>
      </c>
      <c r="O218" s="2">
        <v>0</v>
      </c>
      <c r="P218" s="2">
        <v>0</v>
      </c>
      <c r="Q218" s="2">
        <v>0</v>
      </c>
      <c r="R218" s="2" t="e">
        <v>#VALUE!</v>
      </c>
      <c r="S218" s="2"/>
      <c r="T218" s="2"/>
      <c r="U218" s="2"/>
      <c r="V218" s="2"/>
      <c r="W218" s="2"/>
      <c r="X218" s="2"/>
      <c r="Y218">
        <f t="shared" si="6"/>
        <v>2</v>
      </c>
      <c r="Z218" t="e">
        <f t="shared" si="7"/>
        <v>#VALUE!</v>
      </c>
    </row>
    <row r="219" spans="1:26" x14ac:dyDescent="0.25">
      <c r="A219" t="s">
        <v>247</v>
      </c>
      <c r="B219" s="7">
        <v>38</v>
      </c>
      <c r="C219" s="8" t="s">
        <v>25</v>
      </c>
      <c r="D219" s="8" t="s">
        <v>27</v>
      </c>
      <c r="E219" s="2">
        <v>24</v>
      </c>
      <c r="F219" s="2">
        <v>30.1</v>
      </c>
      <c r="G219" s="2">
        <v>162</v>
      </c>
      <c r="H219" s="2">
        <v>335</v>
      </c>
      <c r="I219" s="2">
        <v>71</v>
      </c>
      <c r="J219" s="2">
        <v>84.5</v>
      </c>
      <c r="K219" s="2">
        <v>41</v>
      </c>
      <c r="L219" s="2">
        <v>5269</v>
      </c>
      <c r="M219" s="2">
        <v>6</v>
      </c>
      <c r="N219" s="2">
        <v>0</v>
      </c>
      <c r="O219" s="2">
        <v>4</v>
      </c>
      <c r="P219" s="2">
        <v>1</v>
      </c>
      <c r="Q219" s="2">
        <v>0</v>
      </c>
      <c r="R219" s="2">
        <v>62</v>
      </c>
      <c r="S219" s="2">
        <v>6</v>
      </c>
      <c r="T219" s="2">
        <v>2</v>
      </c>
      <c r="U219" s="2">
        <v>5</v>
      </c>
      <c r="V219" s="2">
        <v>0</v>
      </c>
      <c r="W219" s="2">
        <v>0</v>
      </c>
      <c r="X219" s="2">
        <v>46</v>
      </c>
      <c r="Y219">
        <f t="shared" si="6"/>
        <v>24</v>
      </c>
      <c r="Z219">
        <f t="shared" si="7"/>
        <v>4.5</v>
      </c>
    </row>
    <row r="220" spans="1:26" x14ac:dyDescent="0.25">
      <c r="A220" t="s">
        <v>248</v>
      </c>
      <c r="B220" s="7">
        <v>39</v>
      </c>
      <c r="C220" s="8" t="s">
        <v>25</v>
      </c>
      <c r="D220" s="8" t="s">
        <v>27</v>
      </c>
      <c r="E220" s="2">
        <v>13.2</v>
      </c>
      <c r="F220" s="2">
        <v>16</v>
      </c>
      <c r="G220" s="2">
        <v>33</v>
      </c>
      <c r="H220" s="2">
        <v>32</v>
      </c>
      <c r="I220" s="2">
        <v>50</v>
      </c>
      <c r="J220" s="2">
        <v>69</v>
      </c>
      <c r="K220" s="2">
        <v>39</v>
      </c>
      <c r="L220" s="2">
        <v>555</v>
      </c>
      <c r="M220" s="2">
        <v>1</v>
      </c>
      <c r="N220" s="2">
        <v>1</v>
      </c>
      <c r="O220" s="2">
        <v>2</v>
      </c>
      <c r="P220" s="2">
        <v>0</v>
      </c>
      <c r="Q220" s="2">
        <v>0</v>
      </c>
      <c r="R220" s="2">
        <v>13</v>
      </c>
      <c r="S220" s="2"/>
      <c r="T220" s="2"/>
      <c r="U220" s="2"/>
      <c r="V220" s="2"/>
      <c r="W220" s="2"/>
      <c r="X220" s="2"/>
      <c r="Y220">
        <f t="shared" si="6"/>
        <v>4</v>
      </c>
      <c r="Z220">
        <f t="shared" si="7"/>
        <v>3.25</v>
      </c>
    </row>
    <row r="221" spans="1:26" x14ac:dyDescent="0.25">
      <c r="A221" t="s">
        <v>249</v>
      </c>
      <c r="B221" s="7">
        <v>40</v>
      </c>
      <c r="C221" s="8" t="s">
        <v>25</v>
      </c>
      <c r="D221" s="8" t="s">
        <v>27</v>
      </c>
      <c r="E221" s="2">
        <v>22.5</v>
      </c>
      <c r="F221" s="2">
        <v>24</v>
      </c>
      <c r="G221" s="2">
        <v>117</v>
      </c>
      <c r="H221" s="2">
        <v>140</v>
      </c>
      <c r="I221" s="2">
        <v>44</v>
      </c>
      <c r="J221" s="2">
        <v>55</v>
      </c>
      <c r="K221" s="2"/>
      <c r="L221" s="2">
        <v>1136</v>
      </c>
      <c r="M221" s="2"/>
      <c r="N221" s="2"/>
      <c r="O221" s="2"/>
      <c r="P221" s="2"/>
      <c r="Q221" s="2"/>
      <c r="R221" s="2"/>
      <c r="S221" s="2">
        <v>1</v>
      </c>
      <c r="T221" s="2">
        <v>2</v>
      </c>
      <c r="U221" s="2">
        <v>4</v>
      </c>
      <c r="V221" s="2">
        <v>1</v>
      </c>
      <c r="W221" s="2">
        <v>0</v>
      </c>
      <c r="X221" s="2">
        <v>41</v>
      </c>
      <c r="Y221">
        <f t="shared" si="6"/>
        <v>8</v>
      </c>
      <c r="Z221">
        <f t="shared" si="7"/>
        <v>5.125</v>
      </c>
    </row>
    <row r="222" spans="1:26" x14ac:dyDescent="0.25">
      <c r="A222" t="s">
        <v>250</v>
      </c>
      <c r="B222" s="7">
        <v>41</v>
      </c>
      <c r="C222" s="7" t="s">
        <v>19</v>
      </c>
      <c r="D222" s="8" t="s">
        <v>28</v>
      </c>
      <c r="E222" s="9">
        <v>14.3</v>
      </c>
      <c r="F222" s="9">
        <v>23</v>
      </c>
      <c r="G222" s="2">
        <v>38</v>
      </c>
      <c r="H222" s="2">
        <v>3</v>
      </c>
      <c r="I222" s="2">
        <v>47.1</v>
      </c>
      <c r="J222" s="2">
        <v>21.1</v>
      </c>
      <c r="K222" s="2">
        <v>41</v>
      </c>
      <c r="L222" s="2"/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9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>
        <v>6</v>
      </c>
      <c r="Y222">
        <f t="shared" si="6"/>
        <v>5</v>
      </c>
      <c r="Z222">
        <f t="shared" si="7"/>
        <v>3</v>
      </c>
    </row>
    <row r="223" spans="1:26" x14ac:dyDescent="0.25">
      <c r="A223" t="s">
        <v>251</v>
      </c>
      <c r="B223" s="7">
        <v>42</v>
      </c>
      <c r="C223" s="7" t="s">
        <v>19</v>
      </c>
      <c r="D223" s="8" t="s">
        <v>28</v>
      </c>
      <c r="E223" s="2">
        <v>13</v>
      </c>
      <c r="F223" s="2">
        <v>16</v>
      </c>
      <c r="G223" s="2">
        <v>18</v>
      </c>
      <c r="H223" s="2"/>
      <c r="I223" s="2">
        <v>35</v>
      </c>
      <c r="J223" s="2"/>
      <c r="K223" s="2">
        <v>41</v>
      </c>
      <c r="L223" s="2"/>
      <c r="M223" s="2">
        <v>4</v>
      </c>
      <c r="N223" s="2">
        <v>0</v>
      </c>
      <c r="O223" s="2">
        <v>0</v>
      </c>
      <c r="P223" s="2">
        <v>0</v>
      </c>
      <c r="Q223" s="2">
        <v>0</v>
      </c>
      <c r="R223" s="2">
        <v>15</v>
      </c>
      <c r="S223" s="2"/>
      <c r="T223" s="2"/>
      <c r="U223" s="2"/>
      <c r="V223" s="2"/>
      <c r="W223" s="2"/>
      <c r="X223" s="2"/>
      <c r="Y223">
        <f t="shared" si="6"/>
        <v>4</v>
      </c>
      <c r="Z223">
        <f t="shared" si="7"/>
        <v>3.75</v>
      </c>
    </row>
    <row r="224" spans="1:26" x14ac:dyDescent="0.25">
      <c r="A224" t="s">
        <v>252</v>
      </c>
      <c r="B224" s="7">
        <v>43</v>
      </c>
      <c r="C224" s="7" t="s">
        <v>19</v>
      </c>
      <c r="D224" s="8" t="s">
        <v>28</v>
      </c>
      <c r="E224" s="2">
        <v>12.3</v>
      </c>
      <c r="F224" s="2">
        <v>17</v>
      </c>
      <c r="G224" s="2">
        <v>15</v>
      </c>
      <c r="H224" s="2">
        <v>65</v>
      </c>
      <c r="I224" s="2">
        <v>30.5</v>
      </c>
      <c r="J224" s="2">
        <v>38</v>
      </c>
      <c r="K224" s="2">
        <v>37</v>
      </c>
      <c r="L224" s="2">
        <v>1611</v>
      </c>
      <c r="M224" s="2"/>
      <c r="N224" s="2"/>
      <c r="O224" s="2"/>
      <c r="P224" s="2"/>
      <c r="Q224" s="2"/>
      <c r="R224" s="2"/>
      <c r="S224" s="2">
        <v>0</v>
      </c>
      <c r="T224" s="2">
        <v>0</v>
      </c>
      <c r="U224" s="2">
        <v>2</v>
      </c>
      <c r="V224" s="2">
        <v>0</v>
      </c>
      <c r="W224" s="2">
        <v>0</v>
      </c>
      <c r="X224" s="2">
        <v>6</v>
      </c>
      <c r="Y224">
        <f t="shared" si="6"/>
        <v>2</v>
      </c>
      <c r="Z224">
        <f t="shared" si="7"/>
        <v>3</v>
      </c>
    </row>
    <row r="225" spans="1:26" x14ac:dyDescent="0.25">
      <c r="A225" t="s">
        <v>253</v>
      </c>
      <c r="B225" s="7">
        <v>44</v>
      </c>
      <c r="C225" s="7" t="s">
        <v>19</v>
      </c>
      <c r="D225" s="8" t="s">
        <v>28</v>
      </c>
      <c r="E225" s="2">
        <v>9.8000000000000007</v>
      </c>
      <c r="F225" s="2">
        <v>12.5</v>
      </c>
      <c r="G225" s="2">
        <v>22</v>
      </c>
      <c r="H225" s="2">
        <v>29</v>
      </c>
      <c r="I225" s="2">
        <v>38</v>
      </c>
      <c r="J225" s="2">
        <v>46.5</v>
      </c>
      <c r="K225" s="2">
        <v>30</v>
      </c>
      <c r="L225" s="2">
        <v>333</v>
      </c>
      <c r="M225" s="2">
        <v>1</v>
      </c>
      <c r="N225" s="2">
        <v>0</v>
      </c>
      <c r="O225" s="2">
        <v>0</v>
      </c>
      <c r="P225" s="2">
        <v>1</v>
      </c>
      <c r="Q225" s="2">
        <v>0</v>
      </c>
      <c r="R225" s="2">
        <v>6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7</v>
      </c>
      <c r="Y225">
        <f t="shared" si="6"/>
        <v>4</v>
      </c>
      <c r="Z225">
        <f t="shared" si="7"/>
        <v>3.25</v>
      </c>
    </row>
    <row r="226" spans="1:26" x14ac:dyDescent="0.25">
      <c r="A226" t="s">
        <v>254</v>
      </c>
      <c r="B226" s="7">
        <v>45</v>
      </c>
      <c r="C226" s="7" t="s">
        <v>19</v>
      </c>
      <c r="D226" s="8" t="s">
        <v>28</v>
      </c>
      <c r="E226" s="2">
        <v>11</v>
      </c>
      <c r="F226" s="2">
        <v>12.5</v>
      </c>
      <c r="G226" s="2">
        <v>12</v>
      </c>
      <c r="H226" s="2">
        <v>45</v>
      </c>
      <c r="I226" s="2">
        <v>32</v>
      </c>
      <c r="J226" s="2">
        <v>46</v>
      </c>
      <c r="K226" s="2">
        <v>48</v>
      </c>
      <c r="L226" s="2">
        <v>2954</v>
      </c>
      <c r="M226" s="2">
        <v>4</v>
      </c>
      <c r="N226" s="2">
        <v>0</v>
      </c>
      <c r="O226" s="2">
        <v>0</v>
      </c>
      <c r="P226" s="2">
        <v>0</v>
      </c>
      <c r="Q226" s="2">
        <v>0</v>
      </c>
      <c r="R226" s="2">
        <v>21</v>
      </c>
      <c r="S226" s="2">
        <v>2</v>
      </c>
      <c r="T226" s="2">
        <v>1</v>
      </c>
      <c r="U226" s="2">
        <v>3</v>
      </c>
      <c r="V226" s="2">
        <v>0</v>
      </c>
      <c r="W226" s="2">
        <v>0</v>
      </c>
      <c r="X226" s="2">
        <v>26</v>
      </c>
      <c r="Y226">
        <f t="shared" si="6"/>
        <v>10</v>
      </c>
      <c r="Z226">
        <f t="shared" si="7"/>
        <v>4.7</v>
      </c>
    </row>
    <row r="227" spans="1:26" x14ac:dyDescent="0.25">
      <c r="A227" t="s">
        <v>255</v>
      </c>
      <c r="B227" s="7">
        <v>46</v>
      </c>
      <c r="C227" s="7" t="s">
        <v>19</v>
      </c>
      <c r="D227" s="8" t="s">
        <v>28</v>
      </c>
      <c r="E227" s="2">
        <v>14.7</v>
      </c>
      <c r="F227" s="2">
        <v>19</v>
      </c>
      <c r="G227" s="2">
        <v>36</v>
      </c>
      <c r="H227" s="2">
        <v>36</v>
      </c>
      <c r="I227" s="2">
        <v>41</v>
      </c>
      <c r="J227" s="2">
        <v>50.2</v>
      </c>
      <c r="K227" s="2">
        <v>29</v>
      </c>
      <c r="L227" s="2">
        <v>4368</v>
      </c>
      <c r="M227" s="2">
        <v>1</v>
      </c>
      <c r="N227" s="2">
        <v>0</v>
      </c>
      <c r="O227" s="2">
        <v>3</v>
      </c>
      <c r="P227" s="2">
        <v>0</v>
      </c>
      <c r="Q227" s="2">
        <v>0</v>
      </c>
      <c r="R227" s="2">
        <v>11</v>
      </c>
      <c r="S227" s="2">
        <v>3</v>
      </c>
      <c r="T227" s="2">
        <v>1</v>
      </c>
      <c r="U227" s="2">
        <v>0</v>
      </c>
      <c r="V227" s="2">
        <v>0</v>
      </c>
      <c r="W227" s="2">
        <v>0</v>
      </c>
      <c r="X227" s="2">
        <v>6</v>
      </c>
      <c r="Y227">
        <f t="shared" si="6"/>
        <v>8</v>
      </c>
      <c r="Z227">
        <f t="shared" si="7"/>
        <v>2.125</v>
      </c>
    </row>
    <row r="228" spans="1:26" x14ac:dyDescent="0.25">
      <c r="A228" t="s">
        <v>256</v>
      </c>
      <c r="B228" s="7">
        <v>47</v>
      </c>
      <c r="C228" s="7" t="s">
        <v>19</v>
      </c>
      <c r="D228" s="8" t="s">
        <v>28</v>
      </c>
      <c r="E228" s="2">
        <v>10.1</v>
      </c>
      <c r="F228" s="2">
        <v>15</v>
      </c>
      <c r="G228" s="2">
        <v>17</v>
      </c>
      <c r="H228" s="2">
        <v>49</v>
      </c>
      <c r="I228" s="2">
        <v>28</v>
      </c>
      <c r="J228" s="2">
        <v>37</v>
      </c>
      <c r="K228" s="2">
        <v>30</v>
      </c>
      <c r="L228" s="2">
        <v>3614</v>
      </c>
      <c r="M228" s="2">
        <v>0</v>
      </c>
      <c r="N228" s="2">
        <v>0</v>
      </c>
      <c r="O228" s="2">
        <v>1</v>
      </c>
      <c r="P228" s="2">
        <v>0</v>
      </c>
      <c r="Q228" s="2">
        <v>0</v>
      </c>
      <c r="R228" s="2">
        <v>6</v>
      </c>
      <c r="S228" s="2">
        <v>1</v>
      </c>
      <c r="T228" s="2">
        <v>0</v>
      </c>
      <c r="U228" s="2">
        <v>3</v>
      </c>
      <c r="V228" s="2">
        <v>0</v>
      </c>
      <c r="W228" s="2">
        <v>0</v>
      </c>
      <c r="X228" s="2">
        <v>10</v>
      </c>
      <c r="Y228">
        <f t="shared" si="6"/>
        <v>5</v>
      </c>
      <c r="Z228">
        <f t="shared" si="7"/>
        <v>3.2</v>
      </c>
    </row>
    <row r="229" spans="1:26" x14ac:dyDescent="0.25">
      <c r="A229" t="s">
        <v>257</v>
      </c>
      <c r="B229" s="7">
        <v>48</v>
      </c>
      <c r="C229" s="7" t="s">
        <v>19</v>
      </c>
      <c r="D229" s="8" t="s">
        <v>28</v>
      </c>
      <c r="E229" s="2">
        <v>13.5</v>
      </c>
      <c r="F229" s="2">
        <v>26</v>
      </c>
      <c r="G229" s="2"/>
      <c r="H229" s="2"/>
      <c r="I229" s="2"/>
      <c r="J229" s="2"/>
      <c r="K229" s="2">
        <v>41</v>
      </c>
      <c r="L229" s="2">
        <v>352</v>
      </c>
      <c r="M229" s="2"/>
      <c r="N229" s="2"/>
      <c r="O229" s="2"/>
      <c r="P229" s="2"/>
      <c r="Q229" s="2"/>
      <c r="R229" s="2"/>
      <c r="S229" s="2">
        <v>4</v>
      </c>
      <c r="T229" s="2">
        <v>1</v>
      </c>
      <c r="U229" s="2">
        <v>1</v>
      </c>
      <c r="V229" s="2">
        <v>0</v>
      </c>
      <c r="W229" s="2">
        <v>0</v>
      </c>
      <c r="X229" s="2">
        <v>35</v>
      </c>
      <c r="Y229">
        <f t="shared" si="6"/>
        <v>6</v>
      </c>
      <c r="Z229">
        <f t="shared" si="7"/>
        <v>5.833333333333333</v>
      </c>
    </row>
    <row r="230" spans="1:26" x14ac:dyDescent="0.25">
      <c r="A230" t="s">
        <v>258</v>
      </c>
      <c r="B230" s="7">
        <v>49</v>
      </c>
      <c r="C230" s="7" t="s">
        <v>19</v>
      </c>
      <c r="D230" s="8" t="s">
        <v>28</v>
      </c>
      <c r="E230" s="2">
        <v>12</v>
      </c>
      <c r="F230" s="2">
        <v>17</v>
      </c>
      <c r="G230" s="2">
        <v>17</v>
      </c>
      <c r="H230" s="2">
        <v>27</v>
      </c>
      <c r="I230" s="2">
        <v>34</v>
      </c>
      <c r="J230" s="2">
        <v>43.8</v>
      </c>
      <c r="K230" s="2">
        <v>29</v>
      </c>
      <c r="L230" s="2"/>
      <c r="M230" s="2">
        <v>0</v>
      </c>
      <c r="N230" s="2">
        <v>0</v>
      </c>
      <c r="O230" s="2">
        <v>2</v>
      </c>
      <c r="P230" s="2">
        <v>0</v>
      </c>
      <c r="Q230" s="2">
        <v>0</v>
      </c>
      <c r="R230" s="2">
        <v>6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6</v>
      </c>
      <c r="Y230">
        <f t="shared" si="6"/>
        <v>3</v>
      </c>
      <c r="Z230">
        <f t="shared" si="7"/>
        <v>4</v>
      </c>
    </row>
    <row r="231" spans="1:26" x14ac:dyDescent="0.25">
      <c r="A231" t="s">
        <v>259</v>
      </c>
      <c r="B231" s="7">
        <v>50</v>
      </c>
      <c r="C231" s="7" t="s">
        <v>19</v>
      </c>
      <c r="D231" s="8" t="s">
        <v>28</v>
      </c>
      <c r="E231" s="2">
        <v>20.2</v>
      </c>
      <c r="F231" s="2"/>
      <c r="G231" s="2"/>
      <c r="H231" s="2"/>
      <c r="I231" s="2"/>
      <c r="J231" s="2"/>
      <c r="K231" s="2">
        <v>37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>
        <f t="shared" si="6"/>
        <v>0</v>
      </c>
      <c r="Z231" t="e">
        <f t="shared" si="7"/>
        <v>#DIV/0!</v>
      </c>
    </row>
    <row r="232" spans="1:26" x14ac:dyDescent="0.25">
      <c r="A232" t="s">
        <v>260</v>
      </c>
      <c r="B232" s="7">
        <v>51</v>
      </c>
      <c r="C232" s="7" t="s">
        <v>19</v>
      </c>
      <c r="D232" s="8" t="s">
        <v>28</v>
      </c>
      <c r="E232" s="2">
        <v>10</v>
      </c>
      <c r="F232" s="2">
        <v>35</v>
      </c>
      <c r="G232" s="2">
        <v>274</v>
      </c>
      <c r="H232" s="2"/>
      <c r="I232" s="2">
        <v>76</v>
      </c>
      <c r="J232" s="2"/>
      <c r="K232" s="2">
        <v>55</v>
      </c>
      <c r="L232" s="2"/>
      <c r="M232" s="2">
        <v>2</v>
      </c>
      <c r="N232" s="2">
        <v>0</v>
      </c>
      <c r="O232" s="2">
        <v>3</v>
      </c>
      <c r="P232" s="2">
        <v>1</v>
      </c>
      <c r="Q232" s="2">
        <v>0</v>
      </c>
      <c r="R232" s="2">
        <v>45</v>
      </c>
      <c r="S232" s="2"/>
      <c r="T232" s="2"/>
      <c r="U232" s="2"/>
      <c r="V232" s="2"/>
      <c r="W232" s="2"/>
      <c r="X232" s="2"/>
      <c r="Y232">
        <f t="shared" si="6"/>
        <v>6</v>
      </c>
      <c r="Z232">
        <f t="shared" si="7"/>
        <v>7.5</v>
      </c>
    </row>
    <row r="233" spans="1:26" x14ac:dyDescent="0.25">
      <c r="A233" t="s">
        <v>261</v>
      </c>
      <c r="B233" s="7">
        <v>52</v>
      </c>
      <c r="C233" s="7" t="s">
        <v>19</v>
      </c>
      <c r="D233" s="8" t="s">
        <v>28</v>
      </c>
      <c r="E233" s="2">
        <v>11</v>
      </c>
      <c r="F233" s="2">
        <v>12</v>
      </c>
      <c r="G233" s="2"/>
      <c r="H233" s="2">
        <v>17</v>
      </c>
      <c r="I233" s="2"/>
      <c r="J233" s="2">
        <v>53.8</v>
      </c>
      <c r="K233" s="2">
        <v>33</v>
      </c>
      <c r="L233" s="2"/>
      <c r="M233" s="2"/>
      <c r="N233" s="2"/>
      <c r="O233" s="2"/>
      <c r="P233" s="2"/>
      <c r="Q233" s="2"/>
      <c r="R233" s="2"/>
      <c r="S233" s="2">
        <v>2</v>
      </c>
      <c r="T233" s="2">
        <v>1</v>
      </c>
      <c r="U233" s="2">
        <v>1</v>
      </c>
      <c r="V233" s="2">
        <v>0</v>
      </c>
      <c r="W233" s="2">
        <v>0</v>
      </c>
      <c r="X233" s="2">
        <v>14</v>
      </c>
      <c r="Y233">
        <f t="shared" si="6"/>
        <v>4</v>
      </c>
      <c r="Z233">
        <f t="shared" si="7"/>
        <v>3.5</v>
      </c>
    </row>
    <row r="234" spans="1:26" x14ac:dyDescent="0.25">
      <c r="A234" t="s">
        <v>262</v>
      </c>
      <c r="B234" s="7">
        <v>53</v>
      </c>
      <c r="C234" s="7" t="s">
        <v>19</v>
      </c>
      <c r="D234" s="8" t="s">
        <v>28</v>
      </c>
      <c r="E234" s="2">
        <v>10</v>
      </c>
      <c r="F234" s="2">
        <v>14</v>
      </c>
      <c r="G234" s="2"/>
      <c r="H234" s="2"/>
      <c r="I234" s="2"/>
      <c r="J234" s="2"/>
      <c r="K234" s="2">
        <v>35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>
        <f t="shared" si="6"/>
        <v>0</v>
      </c>
      <c r="Z234" t="e">
        <f t="shared" si="7"/>
        <v>#DIV/0!</v>
      </c>
    </row>
    <row r="235" spans="1:26" x14ac:dyDescent="0.25">
      <c r="A235" t="s">
        <v>263</v>
      </c>
      <c r="B235" s="7">
        <v>54</v>
      </c>
      <c r="C235" s="7" t="s">
        <v>19</v>
      </c>
      <c r="D235" s="8" t="s">
        <v>28</v>
      </c>
      <c r="E235" s="2">
        <v>17</v>
      </c>
      <c r="F235" s="2">
        <v>27</v>
      </c>
      <c r="G235" s="2">
        <v>21</v>
      </c>
      <c r="H235" s="2">
        <v>35</v>
      </c>
      <c r="I235" s="2">
        <v>48.1</v>
      </c>
      <c r="J235" s="2">
        <v>59.1</v>
      </c>
      <c r="K235" s="2">
        <v>35</v>
      </c>
      <c r="L235" s="2">
        <v>223</v>
      </c>
      <c r="M235" s="2">
        <v>0</v>
      </c>
      <c r="N235" s="2">
        <v>0</v>
      </c>
      <c r="O235" s="2">
        <v>6</v>
      </c>
      <c r="P235" s="2">
        <v>0</v>
      </c>
      <c r="Q235" s="2">
        <v>0</v>
      </c>
      <c r="R235" s="2">
        <v>25</v>
      </c>
      <c r="S235" s="2">
        <v>0</v>
      </c>
      <c r="T235" s="2">
        <v>0</v>
      </c>
      <c r="U235" s="2">
        <v>2</v>
      </c>
      <c r="V235" s="2">
        <v>0</v>
      </c>
      <c r="W235" s="2">
        <v>0</v>
      </c>
      <c r="X235" s="2">
        <v>14</v>
      </c>
      <c r="Y235">
        <f t="shared" si="6"/>
        <v>8</v>
      </c>
      <c r="Z235">
        <f t="shared" si="7"/>
        <v>4.875</v>
      </c>
    </row>
    <row r="236" spans="1:26" x14ac:dyDescent="0.25">
      <c r="A236" t="s">
        <v>264</v>
      </c>
      <c r="B236" s="7">
        <v>55</v>
      </c>
      <c r="C236" s="7" t="s">
        <v>19</v>
      </c>
      <c r="D236" s="8" t="s">
        <v>28</v>
      </c>
      <c r="E236" s="2">
        <v>10.5</v>
      </c>
      <c r="F236" s="2"/>
      <c r="G236" s="2"/>
      <c r="H236" s="2"/>
      <c r="I236" s="2"/>
      <c r="J236" s="2"/>
      <c r="K236" s="2">
        <v>33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>
        <f t="shared" si="6"/>
        <v>0</v>
      </c>
      <c r="Z236" t="e">
        <f t="shared" si="7"/>
        <v>#DIV/0!</v>
      </c>
    </row>
    <row r="237" spans="1:26" x14ac:dyDescent="0.25">
      <c r="A237" t="s">
        <v>265</v>
      </c>
      <c r="B237" s="7">
        <v>56</v>
      </c>
      <c r="C237" s="7" t="s">
        <v>19</v>
      </c>
      <c r="D237" s="8" t="s">
        <v>28</v>
      </c>
      <c r="E237" s="2">
        <v>11.5</v>
      </c>
      <c r="F237" s="2">
        <v>18</v>
      </c>
      <c r="G237" s="2">
        <v>47</v>
      </c>
      <c r="H237" s="2">
        <v>52</v>
      </c>
      <c r="I237" s="2">
        <v>35</v>
      </c>
      <c r="J237" s="2">
        <v>51</v>
      </c>
      <c r="K237" s="2">
        <v>35</v>
      </c>
      <c r="L237" s="2">
        <v>24</v>
      </c>
      <c r="M237" s="2">
        <v>3</v>
      </c>
      <c r="N237" s="2">
        <v>0</v>
      </c>
      <c r="O237" s="2">
        <v>2</v>
      </c>
      <c r="P237" s="2">
        <v>0</v>
      </c>
      <c r="Q237" s="2">
        <v>0</v>
      </c>
      <c r="R237" s="2">
        <v>15</v>
      </c>
      <c r="S237" s="2">
        <v>2</v>
      </c>
      <c r="T237" s="2">
        <v>2</v>
      </c>
      <c r="U237" s="2">
        <v>1</v>
      </c>
      <c r="V237" s="2">
        <v>0</v>
      </c>
      <c r="W237" s="2">
        <v>0</v>
      </c>
      <c r="X237" s="2">
        <v>21</v>
      </c>
      <c r="Y237">
        <f t="shared" si="6"/>
        <v>10</v>
      </c>
      <c r="Z237">
        <f t="shared" si="7"/>
        <v>3.6</v>
      </c>
    </row>
    <row r="238" spans="1:26" x14ac:dyDescent="0.25">
      <c r="A238" t="s">
        <v>266</v>
      </c>
      <c r="B238" s="7">
        <v>57</v>
      </c>
      <c r="C238" s="7" t="s">
        <v>19</v>
      </c>
      <c r="D238" s="8" t="s">
        <v>28</v>
      </c>
      <c r="E238" s="2">
        <v>10.4</v>
      </c>
      <c r="F238" s="2">
        <v>12.5</v>
      </c>
      <c r="G238" s="2">
        <v>17</v>
      </c>
      <c r="H238" s="2">
        <v>36</v>
      </c>
      <c r="I238" s="2">
        <v>41.5</v>
      </c>
      <c r="J238" s="2">
        <v>46</v>
      </c>
      <c r="K238" s="2">
        <v>31</v>
      </c>
      <c r="L238" s="2">
        <v>55</v>
      </c>
      <c r="M238" s="2">
        <v>1</v>
      </c>
      <c r="N238" s="2">
        <v>0</v>
      </c>
      <c r="O238" s="2">
        <v>4</v>
      </c>
      <c r="P238" s="2">
        <v>0</v>
      </c>
      <c r="Q238" s="2">
        <v>0</v>
      </c>
      <c r="R238" s="2">
        <v>17</v>
      </c>
      <c r="S238" s="2">
        <v>8</v>
      </c>
      <c r="T238" s="2">
        <v>0</v>
      </c>
      <c r="U238" s="2">
        <v>1</v>
      </c>
      <c r="V238" s="2">
        <v>1</v>
      </c>
      <c r="W238" s="2">
        <v>0</v>
      </c>
      <c r="X238" s="2">
        <v>35</v>
      </c>
      <c r="Y238">
        <f t="shared" si="6"/>
        <v>15</v>
      </c>
      <c r="Z238">
        <f t="shared" si="7"/>
        <v>3.4666666666666668</v>
      </c>
    </row>
    <row r="239" spans="1:26" x14ac:dyDescent="0.25">
      <c r="A239" t="s">
        <v>267</v>
      </c>
      <c r="B239" s="7">
        <v>58</v>
      </c>
      <c r="C239" s="7" t="s">
        <v>19</v>
      </c>
      <c r="D239" s="8" t="s">
        <v>28</v>
      </c>
      <c r="E239" s="2">
        <v>13</v>
      </c>
      <c r="F239" s="2">
        <v>12.5</v>
      </c>
      <c r="G239" s="2">
        <v>7</v>
      </c>
      <c r="H239" s="2">
        <v>8</v>
      </c>
      <c r="I239" s="2">
        <v>28</v>
      </c>
      <c r="J239" s="2">
        <v>29.8</v>
      </c>
      <c r="K239" s="2">
        <v>31</v>
      </c>
      <c r="L239" s="2"/>
      <c r="M239" s="2"/>
      <c r="N239" s="2"/>
      <c r="O239" s="2"/>
      <c r="P239" s="2"/>
      <c r="Q239" s="2"/>
      <c r="R239" s="2"/>
      <c r="S239" s="2">
        <v>1</v>
      </c>
      <c r="T239" s="2">
        <v>1</v>
      </c>
      <c r="U239" s="2">
        <v>0</v>
      </c>
      <c r="V239" s="2">
        <v>0</v>
      </c>
      <c r="W239" s="2">
        <v>0</v>
      </c>
      <c r="X239" s="2">
        <v>3</v>
      </c>
      <c r="Y239">
        <f t="shared" si="6"/>
        <v>2</v>
      </c>
      <c r="Z239">
        <f t="shared" si="7"/>
        <v>1.5</v>
      </c>
    </row>
    <row r="240" spans="1:26" x14ac:dyDescent="0.25">
      <c r="A240" t="s">
        <v>268</v>
      </c>
      <c r="B240" s="7">
        <v>59</v>
      </c>
      <c r="C240" s="7" t="s">
        <v>19</v>
      </c>
      <c r="D240" s="8" t="s">
        <v>28</v>
      </c>
      <c r="E240" s="2">
        <v>13</v>
      </c>
      <c r="F240" s="2">
        <v>18</v>
      </c>
      <c r="G240" s="2">
        <v>11</v>
      </c>
      <c r="H240" s="2">
        <v>6</v>
      </c>
      <c r="I240" s="2">
        <v>35.4</v>
      </c>
      <c r="J240" s="2">
        <v>35.4</v>
      </c>
      <c r="K240" s="2"/>
      <c r="L240" s="2"/>
      <c r="M240" s="2">
        <v>1</v>
      </c>
      <c r="N240" s="2">
        <v>0</v>
      </c>
      <c r="O240" s="2">
        <v>0</v>
      </c>
      <c r="P240" s="2">
        <v>0</v>
      </c>
      <c r="Q240" s="2">
        <v>0</v>
      </c>
      <c r="R240" s="2">
        <v>2</v>
      </c>
      <c r="S240" s="2">
        <v>0</v>
      </c>
      <c r="T240" s="2">
        <v>0</v>
      </c>
      <c r="U240" s="2">
        <v>3</v>
      </c>
      <c r="V240" s="2">
        <v>0</v>
      </c>
      <c r="W240" s="2">
        <v>0</v>
      </c>
      <c r="X240" s="2">
        <v>7</v>
      </c>
      <c r="Y240">
        <f t="shared" si="6"/>
        <v>4</v>
      </c>
      <c r="Z240">
        <f t="shared" si="7"/>
        <v>2.25</v>
      </c>
    </row>
    <row r="241" spans="1:26" x14ac:dyDescent="0.25">
      <c r="A241" t="s">
        <v>269</v>
      </c>
      <c r="B241" s="7">
        <v>60</v>
      </c>
      <c r="C241" s="7" t="s">
        <v>19</v>
      </c>
      <c r="D241" s="8" t="s">
        <v>28</v>
      </c>
      <c r="E241" s="2">
        <v>15.2</v>
      </c>
      <c r="F241" s="2">
        <v>16.5</v>
      </c>
      <c r="G241" s="2">
        <v>2</v>
      </c>
      <c r="H241" s="2">
        <v>12</v>
      </c>
      <c r="I241" s="2">
        <v>30</v>
      </c>
      <c r="J241" s="2">
        <v>28</v>
      </c>
      <c r="K241" s="2"/>
      <c r="L241" s="2"/>
      <c r="M241" s="2"/>
      <c r="N241" s="2"/>
      <c r="O241" s="2"/>
      <c r="P241" s="2"/>
      <c r="Q241" s="2"/>
      <c r="R241" s="2"/>
      <c r="S241" s="2">
        <v>0</v>
      </c>
      <c r="T241" s="2">
        <v>0</v>
      </c>
      <c r="U241" s="2">
        <v>1</v>
      </c>
      <c r="V241" s="2">
        <v>0</v>
      </c>
      <c r="W241" s="2">
        <v>0</v>
      </c>
      <c r="X241" s="2">
        <v>2</v>
      </c>
      <c r="Y241">
        <f t="shared" si="6"/>
        <v>1</v>
      </c>
      <c r="Z241">
        <f t="shared" si="7"/>
        <v>2</v>
      </c>
    </row>
    <row r="242" spans="1:26" ht="15.75" x14ac:dyDescent="0.25">
      <c r="A242" t="s">
        <v>270</v>
      </c>
      <c r="B242" s="7">
        <v>61</v>
      </c>
      <c r="C242" s="7" t="s">
        <v>19</v>
      </c>
      <c r="D242" s="8" t="s">
        <v>28</v>
      </c>
      <c r="E242" s="2">
        <v>11.8</v>
      </c>
      <c r="F242" s="2"/>
      <c r="G242" s="2"/>
      <c r="H242" s="2"/>
      <c r="I242" s="2"/>
      <c r="J242" s="2"/>
      <c r="K242" s="2">
        <v>33</v>
      </c>
      <c r="L242" s="1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>
        <f t="shared" si="6"/>
        <v>0</v>
      </c>
      <c r="Z242" t="e">
        <f t="shared" si="7"/>
        <v>#DIV/0!</v>
      </c>
    </row>
    <row r="243" spans="1:26" x14ac:dyDescent="0.25">
      <c r="A243" t="s">
        <v>271</v>
      </c>
      <c r="B243" s="7">
        <v>62</v>
      </c>
      <c r="C243" s="7" t="s">
        <v>19</v>
      </c>
      <c r="D243" s="8" t="s">
        <v>28</v>
      </c>
      <c r="E243" s="2">
        <v>13.2</v>
      </c>
      <c r="F243" s="2">
        <v>15</v>
      </c>
      <c r="G243" s="2">
        <v>13</v>
      </c>
      <c r="H243" s="2">
        <v>27</v>
      </c>
      <c r="I243" s="2">
        <v>27</v>
      </c>
      <c r="J243" s="2">
        <v>22</v>
      </c>
      <c r="K243" s="2"/>
      <c r="L243" s="2"/>
      <c r="M243" s="2"/>
      <c r="N243" s="2"/>
      <c r="O243" s="2"/>
      <c r="P243" s="2"/>
      <c r="Q243" s="2"/>
      <c r="R243" s="2"/>
      <c r="S243" s="2">
        <v>0</v>
      </c>
      <c r="T243" s="2">
        <v>1</v>
      </c>
      <c r="U243" s="2">
        <v>0</v>
      </c>
      <c r="V243" s="2">
        <v>0</v>
      </c>
      <c r="W243" s="2">
        <v>0</v>
      </c>
      <c r="X243" s="2">
        <v>5</v>
      </c>
      <c r="Y243">
        <f t="shared" si="6"/>
        <v>1</v>
      </c>
      <c r="Z243">
        <f t="shared" si="7"/>
        <v>5</v>
      </c>
    </row>
    <row r="244" spans="1:26" x14ac:dyDescent="0.25">
      <c r="A244" t="s">
        <v>272</v>
      </c>
      <c r="B244" s="7">
        <v>63</v>
      </c>
      <c r="C244" s="7" t="s">
        <v>19</v>
      </c>
      <c r="D244" s="8" t="s">
        <v>28</v>
      </c>
      <c r="E244" s="2">
        <v>15.6</v>
      </c>
      <c r="F244" s="2">
        <v>13</v>
      </c>
      <c r="G244" s="2">
        <v>29</v>
      </c>
      <c r="H244" s="2">
        <v>20</v>
      </c>
      <c r="I244" s="2">
        <v>43</v>
      </c>
      <c r="J244" s="2">
        <v>62.3</v>
      </c>
      <c r="K244" s="2"/>
      <c r="L244" s="2"/>
      <c r="M244" s="2">
        <v>0</v>
      </c>
      <c r="N244" s="2">
        <v>3</v>
      </c>
      <c r="O244" s="2">
        <v>0</v>
      </c>
      <c r="P244" s="2">
        <v>0</v>
      </c>
      <c r="Q244" s="2">
        <v>0</v>
      </c>
      <c r="R244" s="2">
        <v>9</v>
      </c>
      <c r="S244" s="2">
        <v>0</v>
      </c>
      <c r="T244" s="2">
        <v>0</v>
      </c>
      <c r="U244" s="2">
        <v>1</v>
      </c>
      <c r="V244" s="2">
        <v>0</v>
      </c>
      <c r="W244" s="2">
        <v>0</v>
      </c>
      <c r="X244" s="2">
        <v>5</v>
      </c>
      <c r="Y244">
        <f t="shared" si="6"/>
        <v>4</v>
      </c>
      <c r="Z244">
        <f t="shared" si="7"/>
        <v>3.5</v>
      </c>
    </row>
    <row r="245" spans="1:26" x14ac:dyDescent="0.25">
      <c r="A245" t="s">
        <v>273</v>
      </c>
      <c r="B245" s="7">
        <v>41</v>
      </c>
      <c r="C245" s="7" t="s">
        <v>22</v>
      </c>
      <c r="D245" s="8" t="s">
        <v>28</v>
      </c>
      <c r="E245" s="2">
        <v>16</v>
      </c>
      <c r="F245" s="2">
        <v>24.5</v>
      </c>
      <c r="G245" s="2">
        <v>20</v>
      </c>
      <c r="H245" s="2">
        <v>38</v>
      </c>
      <c r="I245" s="2">
        <v>40</v>
      </c>
      <c r="J245" s="2">
        <v>43</v>
      </c>
      <c r="K245" s="2">
        <v>39</v>
      </c>
      <c r="L245" s="2">
        <v>76</v>
      </c>
      <c r="M245" s="2">
        <v>3</v>
      </c>
      <c r="N245" s="2">
        <v>0</v>
      </c>
      <c r="O245" s="2">
        <v>2</v>
      </c>
      <c r="P245" s="2">
        <v>0</v>
      </c>
      <c r="Q245" s="2">
        <v>0</v>
      </c>
      <c r="R245" s="2">
        <v>23</v>
      </c>
      <c r="S245" s="2">
        <v>1</v>
      </c>
      <c r="T245" s="2">
        <v>0</v>
      </c>
      <c r="U245" s="2">
        <v>1</v>
      </c>
      <c r="V245" s="2">
        <v>0</v>
      </c>
      <c r="W245" s="2">
        <v>0</v>
      </c>
      <c r="X245" s="2">
        <v>17</v>
      </c>
      <c r="Y245">
        <f t="shared" si="6"/>
        <v>7</v>
      </c>
      <c r="Z245">
        <f t="shared" si="7"/>
        <v>5.7142857142857144</v>
      </c>
    </row>
    <row r="246" spans="1:26" x14ac:dyDescent="0.25">
      <c r="A246" t="s">
        <v>274</v>
      </c>
      <c r="B246" s="7">
        <v>42</v>
      </c>
      <c r="C246" s="7" t="s">
        <v>22</v>
      </c>
      <c r="D246" s="8" t="s">
        <v>28</v>
      </c>
      <c r="E246" s="2">
        <v>17.100000000000001</v>
      </c>
      <c r="F246" s="2">
        <v>15</v>
      </c>
      <c r="G246" s="2"/>
      <c r="H246" s="2"/>
      <c r="I246" s="2"/>
      <c r="J246" s="2"/>
      <c r="K246" s="2">
        <v>27</v>
      </c>
      <c r="L246" s="2">
        <v>76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>
        <f t="shared" si="6"/>
        <v>0</v>
      </c>
      <c r="Z246" t="e">
        <f t="shared" si="7"/>
        <v>#DIV/0!</v>
      </c>
    </row>
    <row r="247" spans="1:26" x14ac:dyDescent="0.25">
      <c r="A247" t="s">
        <v>275</v>
      </c>
      <c r="B247" s="7">
        <v>43</v>
      </c>
      <c r="C247" s="7" t="s">
        <v>22</v>
      </c>
      <c r="D247" s="8" t="s">
        <v>28</v>
      </c>
      <c r="E247" s="2">
        <v>14</v>
      </c>
      <c r="F247" s="2">
        <v>20</v>
      </c>
      <c r="G247" s="2">
        <v>39</v>
      </c>
      <c r="H247" s="2">
        <v>45</v>
      </c>
      <c r="I247" s="2">
        <v>51</v>
      </c>
      <c r="J247" s="2">
        <v>58</v>
      </c>
      <c r="K247" s="2">
        <v>30</v>
      </c>
      <c r="L247" s="2">
        <v>350</v>
      </c>
      <c r="M247" s="2">
        <v>3</v>
      </c>
      <c r="N247" s="2">
        <v>2</v>
      </c>
      <c r="O247" s="2">
        <v>0</v>
      </c>
      <c r="P247" s="2">
        <v>0</v>
      </c>
      <c r="Q247" s="2">
        <v>0</v>
      </c>
      <c r="R247" s="2">
        <v>16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3</v>
      </c>
      <c r="Y247">
        <f t="shared" si="6"/>
        <v>6</v>
      </c>
      <c r="Z247">
        <f t="shared" si="7"/>
        <v>3.1666666666666665</v>
      </c>
    </row>
    <row r="248" spans="1:26" x14ac:dyDescent="0.25">
      <c r="A248" t="s">
        <v>276</v>
      </c>
      <c r="B248" s="7">
        <v>44</v>
      </c>
      <c r="C248" s="7" t="s">
        <v>22</v>
      </c>
      <c r="D248" s="8" t="s">
        <v>28</v>
      </c>
      <c r="E248" s="2">
        <v>17.3</v>
      </c>
      <c r="F248" s="2">
        <v>20</v>
      </c>
      <c r="G248" s="2"/>
      <c r="H248" s="2">
        <v>16</v>
      </c>
      <c r="I248" s="2"/>
      <c r="J248" s="2">
        <v>47.5</v>
      </c>
      <c r="K248" s="2">
        <v>33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>
        <f t="shared" si="6"/>
        <v>0</v>
      </c>
      <c r="Z248" t="e">
        <f t="shared" si="7"/>
        <v>#DIV/0!</v>
      </c>
    </row>
    <row r="249" spans="1:26" x14ac:dyDescent="0.25">
      <c r="A249" t="s">
        <v>277</v>
      </c>
      <c r="B249" s="7">
        <v>45</v>
      </c>
      <c r="C249" s="7" t="s">
        <v>22</v>
      </c>
      <c r="D249" s="8" t="s">
        <v>28</v>
      </c>
      <c r="E249" s="2">
        <v>14.4</v>
      </c>
      <c r="F249" s="2">
        <v>22</v>
      </c>
      <c r="G249" s="2">
        <v>35</v>
      </c>
      <c r="H249" s="2">
        <v>23</v>
      </c>
      <c r="I249" s="2">
        <v>41</v>
      </c>
      <c r="J249" s="2">
        <v>42</v>
      </c>
      <c r="K249" s="2">
        <v>31</v>
      </c>
      <c r="L249" s="2">
        <v>160</v>
      </c>
      <c r="M249" s="2"/>
      <c r="N249" s="2"/>
      <c r="O249" s="2"/>
      <c r="P249" s="2"/>
      <c r="Q249" s="2"/>
      <c r="R249" s="2"/>
      <c r="S249" s="2">
        <v>3</v>
      </c>
      <c r="T249" s="2">
        <v>0</v>
      </c>
      <c r="U249" s="2">
        <v>2</v>
      </c>
      <c r="V249" s="2">
        <v>0</v>
      </c>
      <c r="W249" s="2">
        <v>0</v>
      </c>
      <c r="X249" s="2">
        <v>13</v>
      </c>
      <c r="Y249">
        <f t="shared" si="6"/>
        <v>5</v>
      </c>
      <c r="Z249">
        <f t="shared" si="7"/>
        <v>2.6</v>
      </c>
    </row>
    <row r="250" spans="1:26" x14ac:dyDescent="0.25">
      <c r="A250" t="s">
        <v>278</v>
      </c>
      <c r="B250" s="7">
        <v>46</v>
      </c>
      <c r="C250" s="7" t="s">
        <v>22</v>
      </c>
      <c r="D250" s="8" t="s">
        <v>28</v>
      </c>
      <c r="E250" s="2">
        <v>12.7</v>
      </c>
      <c r="F250" s="2">
        <v>17</v>
      </c>
      <c r="G250" s="2">
        <v>23</v>
      </c>
      <c r="H250" s="2">
        <v>26</v>
      </c>
      <c r="I250" s="2">
        <v>35</v>
      </c>
      <c r="J250" s="2">
        <v>41.8</v>
      </c>
      <c r="K250" s="2">
        <v>31</v>
      </c>
      <c r="L250" s="2">
        <v>843</v>
      </c>
      <c r="M250" s="2"/>
      <c r="N250" s="2"/>
      <c r="O250" s="2"/>
      <c r="P250" s="2"/>
      <c r="Q250" s="2"/>
      <c r="R250" s="2"/>
      <c r="S250" s="2">
        <v>2</v>
      </c>
      <c r="T250" s="2">
        <v>0</v>
      </c>
      <c r="U250" s="2">
        <v>1</v>
      </c>
      <c r="V250" s="2">
        <v>0</v>
      </c>
      <c r="W250" s="2">
        <v>0</v>
      </c>
      <c r="X250" s="2">
        <v>15</v>
      </c>
      <c r="Y250">
        <f t="shared" si="6"/>
        <v>3</v>
      </c>
      <c r="Z250">
        <f t="shared" si="7"/>
        <v>5</v>
      </c>
    </row>
    <row r="251" spans="1:26" x14ac:dyDescent="0.25">
      <c r="A251" t="s">
        <v>279</v>
      </c>
      <c r="B251" s="7">
        <v>47</v>
      </c>
      <c r="C251" s="7" t="s">
        <v>22</v>
      </c>
      <c r="D251" s="8" t="s">
        <v>28</v>
      </c>
      <c r="E251" s="2">
        <v>15.5</v>
      </c>
      <c r="F251" s="2"/>
      <c r="G251" s="2">
        <v>18</v>
      </c>
      <c r="H251" s="2"/>
      <c r="I251" s="2">
        <v>41.5</v>
      </c>
      <c r="J251" s="2"/>
      <c r="K251" s="2">
        <v>29</v>
      </c>
      <c r="L251" s="2"/>
      <c r="M251" s="2">
        <v>1</v>
      </c>
      <c r="N251" s="2">
        <v>3</v>
      </c>
      <c r="O251" s="2">
        <v>1</v>
      </c>
      <c r="P251" s="2">
        <v>0</v>
      </c>
      <c r="Q251" s="2">
        <v>0</v>
      </c>
      <c r="R251" s="2">
        <v>30</v>
      </c>
      <c r="S251" s="2"/>
      <c r="T251" s="2"/>
      <c r="U251" s="2"/>
      <c r="V251" s="2"/>
      <c r="W251" s="2"/>
      <c r="X251" s="2"/>
      <c r="Y251">
        <f t="shared" si="6"/>
        <v>5</v>
      </c>
      <c r="Z251">
        <f t="shared" si="7"/>
        <v>6</v>
      </c>
    </row>
    <row r="252" spans="1:26" x14ac:dyDescent="0.25">
      <c r="A252" t="s">
        <v>280</v>
      </c>
      <c r="B252" s="7">
        <v>48</v>
      </c>
      <c r="C252" s="7" t="s">
        <v>22</v>
      </c>
      <c r="D252" s="8" t="s">
        <v>28</v>
      </c>
      <c r="E252" s="2">
        <v>16.3</v>
      </c>
      <c r="F252" s="2">
        <v>23</v>
      </c>
      <c r="G252" s="2">
        <v>57</v>
      </c>
      <c r="H252" s="2">
        <v>47</v>
      </c>
      <c r="I252" s="2">
        <v>46</v>
      </c>
      <c r="J252" s="2">
        <v>50.4</v>
      </c>
      <c r="K252" s="2">
        <v>30</v>
      </c>
      <c r="L252" s="2">
        <v>659</v>
      </c>
      <c r="M252" s="2"/>
      <c r="N252" s="2"/>
      <c r="O252" s="2"/>
      <c r="P252" s="2"/>
      <c r="Q252" s="2"/>
      <c r="R252" s="2"/>
      <c r="S252" s="2">
        <v>1</v>
      </c>
      <c r="T252" s="2">
        <v>0</v>
      </c>
      <c r="U252" s="2">
        <v>0</v>
      </c>
      <c r="V252" s="2">
        <v>1</v>
      </c>
      <c r="W252" s="2">
        <v>0</v>
      </c>
      <c r="X252" s="2">
        <v>11</v>
      </c>
      <c r="Y252">
        <f t="shared" si="6"/>
        <v>2</v>
      </c>
      <c r="Z252">
        <f t="shared" si="7"/>
        <v>5.5</v>
      </c>
    </row>
    <row r="253" spans="1:26" x14ac:dyDescent="0.25">
      <c r="A253" t="s">
        <v>281</v>
      </c>
      <c r="B253" s="7">
        <v>49</v>
      </c>
      <c r="C253" s="7" t="s">
        <v>22</v>
      </c>
      <c r="D253" s="8" t="s">
        <v>28</v>
      </c>
      <c r="E253" s="2">
        <v>15.4</v>
      </c>
      <c r="F253" s="2"/>
      <c r="G253" s="2"/>
      <c r="H253" s="2"/>
      <c r="I253" s="2"/>
      <c r="J253" s="2"/>
      <c r="K253" s="2">
        <v>31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>
        <f t="shared" si="6"/>
        <v>0</v>
      </c>
      <c r="Z253" t="e">
        <f t="shared" si="7"/>
        <v>#DIV/0!</v>
      </c>
    </row>
    <row r="254" spans="1:26" x14ac:dyDescent="0.25">
      <c r="A254" t="s">
        <v>282</v>
      </c>
      <c r="B254" s="7">
        <v>50</v>
      </c>
      <c r="C254" s="7" t="s">
        <v>22</v>
      </c>
      <c r="D254" s="8" t="s">
        <v>28</v>
      </c>
      <c r="E254" s="2">
        <v>20</v>
      </c>
      <c r="F254" s="2">
        <v>21</v>
      </c>
      <c r="G254" s="2">
        <v>17</v>
      </c>
      <c r="H254" s="2"/>
      <c r="I254" s="2">
        <v>31.8</v>
      </c>
      <c r="J254" s="2"/>
      <c r="K254" s="2"/>
      <c r="L254" s="2"/>
      <c r="M254" s="2">
        <v>2</v>
      </c>
      <c r="N254" s="2">
        <v>1</v>
      </c>
      <c r="O254" s="2">
        <v>0</v>
      </c>
      <c r="P254" s="2">
        <v>0</v>
      </c>
      <c r="Q254" s="2">
        <v>0</v>
      </c>
      <c r="R254" s="2">
        <v>7</v>
      </c>
      <c r="S254" s="2"/>
      <c r="T254" s="2"/>
      <c r="U254" s="2"/>
      <c r="V254" s="2"/>
      <c r="W254" s="2"/>
      <c r="X254" s="2"/>
      <c r="Y254">
        <f t="shared" si="6"/>
        <v>3</v>
      </c>
      <c r="Z254">
        <f t="shared" si="7"/>
        <v>2.3333333333333335</v>
      </c>
    </row>
    <row r="255" spans="1:26" x14ac:dyDescent="0.25">
      <c r="A255" t="s">
        <v>283</v>
      </c>
      <c r="B255" s="7">
        <v>51</v>
      </c>
      <c r="C255" s="7" t="s">
        <v>22</v>
      </c>
      <c r="D255" s="8" t="s">
        <v>28</v>
      </c>
      <c r="E255" s="2">
        <v>14</v>
      </c>
      <c r="F255" s="2">
        <v>15</v>
      </c>
      <c r="G255" s="2">
        <v>76</v>
      </c>
      <c r="H255" s="2"/>
      <c r="I255" s="2">
        <v>43.5</v>
      </c>
      <c r="J255" s="2"/>
      <c r="K255" s="2">
        <v>31</v>
      </c>
      <c r="L255" s="2">
        <v>698</v>
      </c>
      <c r="M255" s="2">
        <v>1</v>
      </c>
      <c r="N255" s="2">
        <v>2</v>
      </c>
      <c r="O255" s="2">
        <v>0</v>
      </c>
      <c r="P255" s="2">
        <v>0</v>
      </c>
      <c r="Q255" s="2">
        <v>0</v>
      </c>
      <c r="R255" s="2">
        <v>6</v>
      </c>
      <c r="S255" s="2"/>
      <c r="T255" s="2"/>
      <c r="U255" s="2"/>
      <c r="V255" s="2"/>
      <c r="W255" s="2"/>
      <c r="X255" s="2"/>
      <c r="Y255">
        <f t="shared" si="6"/>
        <v>3</v>
      </c>
      <c r="Z255">
        <f t="shared" si="7"/>
        <v>2</v>
      </c>
    </row>
    <row r="256" spans="1:26" x14ac:dyDescent="0.25">
      <c r="A256" t="s">
        <v>284</v>
      </c>
      <c r="B256" s="7">
        <v>52</v>
      </c>
      <c r="C256" s="7" t="s">
        <v>22</v>
      </c>
      <c r="D256" s="8" t="s">
        <v>28</v>
      </c>
      <c r="E256" s="2">
        <v>13.5</v>
      </c>
      <c r="F256" s="2">
        <v>19</v>
      </c>
      <c r="G256" s="2">
        <v>30</v>
      </c>
      <c r="H256" s="2"/>
      <c r="I256" s="2">
        <v>44</v>
      </c>
      <c r="J256" s="2"/>
      <c r="K256" s="2">
        <v>31</v>
      </c>
      <c r="L256" s="2">
        <v>1268</v>
      </c>
      <c r="M256" s="2">
        <v>0</v>
      </c>
      <c r="N256" s="2">
        <v>0</v>
      </c>
      <c r="O256" s="2">
        <v>2</v>
      </c>
      <c r="P256" s="2">
        <v>0</v>
      </c>
      <c r="Q256" s="2">
        <v>0</v>
      </c>
      <c r="R256" s="2">
        <v>9</v>
      </c>
      <c r="S256" s="2"/>
      <c r="T256" s="2"/>
      <c r="U256" s="2"/>
      <c r="V256" s="2"/>
      <c r="W256" s="2"/>
      <c r="X256" s="2"/>
      <c r="Y256">
        <f t="shared" si="6"/>
        <v>2</v>
      </c>
      <c r="Z256">
        <f t="shared" si="7"/>
        <v>4.5</v>
      </c>
    </row>
    <row r="257" spans="1:26" x14ac:dyDescent="0.25">
      <c r="A257" t="s">
        <v>285</v>
      </c>
      <c r="B257" s="7">
        <v>53</v>
      </c>
      <c r="C257" s="7" t="s">
        <v>22</v>
      </c>
      <c r="D257" s="8" t="s">
        <v>28</v>
      </c>
      <c r="E257" s="2">
        <v>15.4</v>
      </c>
      <c r="F257" s="2"/>
      <c r="G257" s="2"/>
      <c r="H257" s="2"/>
      <c r="I257" s="2"/>
      <c r="J257" s="2"/>
      <c r="K257" s="2">
        <v>35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>
        <f t="shared" si="6"/>
        <v>0</v>
      </c>
      <c r="Z257" t="e">
        <f t="shared" si="7"/>
        <v>#DIV/0!</v>
      </c>
    </row>
    <row r="258" spans="1:26" x14ac:dyDescent="0.25">
      <c r="A258" t="s">
        <v>286</v>
      </c>
      <c r="B258" s="7">
        <v>54</v>
      </c>
      <c r="C258" s="7" t="s">
        <v>22</v>
      </c>
      <c r="D258" s="8" t="s">
        <v>28</v>
      </c>
      <c r="E258" s="2">
        <v>17</v>
      </c>
      <c r="F258" s="2">
        <v>21.5</v>
      </c>
      <c r="G258" s="2">
        <v>46</v>
      </c>
      <c r="H258" s="2">
        <v>4</v>
      </c>
      <c r="I258" s="2">
        <v>54</v>
      </c>
      <c r="J258" s="2">
        <v>56.6</v>
      </c>
      <c r="K258" s="2">
        <v>30</v>
      </c>
      <c r="L258" s="2"/>
      <c r="M258" s="2">
        <v>0</v>
      </c>
      <c r="N258" s="2">
        <v>1</v>
      </c>
      <c r="O258" s="2">
        <v>0</v>
      </c>
      <c r="P258" s="2">
        <v>0</v>
      </c>
      <c r="Q258" s="2">
        <v>0</v>
      </c>
      <c r="R258" s="2" t="e">
        <v>#VALUE!</v>
      </c>
      <c r="S258" s="2"/>
      <c r="T258" s="2"/>
      <c r="U258" s="2"/>
      <c r="V258" s="2"/>
      <c r="W258" s="2"/>
      <c r="X258" s="2"/>
      <c r="Y258">
        <f t="shared" si="6"/>
        <v>1</v>
      </c>
      <c r="Z258" t="e">
        <f t="shared" si="7"/>
        <v>#VALUE!</v>
      </c>
    </row>
    <row r="259" spans="1:26" x14ac:dyDescent="0.25">
      <c r="A259" t="s">
        <v>287</v>
      </c>
      <c r="B259" s="7">
        <v>55</v>
      </c>
      <c r="C259" s="7" t="s">
        <v>22</v>
      </c>
      <c r="D259" s="8" t="s">
        <v>28</v>
      </c>
      <c r="E259" s="2">
        <v>18.3</v>
      </c>
      <c r="F259" s="2">
        <v>18</v>
      </c>
      <c r="G259" s="2"/>
      <c r="H259" s="2">
        <v>46</v>
      </c>
      <c r="I259" s="2"/>
      <c r="J259" s="2">
        <v>37</v>
      </c>
      <c r="K259" s="2">
        <v>31</v>
      </c>
      <c r="L259" s="2">
        <v>111</v>
      </c>
      <c r="M259" s="2"/>
      <c r="N259" s="2"/>
      <c r="O259" s="2"/>
      <c r="P259" s="2"/>
      <c r="Q259" s="2"/>
      <c r="R259" s="2"/>
      <c r="S259" s="2">
        <v>4</v>
      </c>
      <c r="T259" s="2">
        <v>0</v>
      </c>
      <c r="U259" s="2">
        <v>2</v>
      </c>
      <c r="V259" s="2">
        <v>0</v>
      </c>
      <c r="W259" s="2">
        <v>0</v>
      </c>
      <c r="X259" s="2">
        <v>13</v>
      </c>
      <c r="Y259">
        <f t="shared" ref="Y259:Y322" si="8">SUM(M259:Q259,S259:W259)</f>
        <v>6</v>
      </c>
      <c r="Z259">
        <f t="shared" ref="Z259:Z322" si="9">(R259+X259) / (SUM(M259:Q259) + (SUM(S259:W259)))</f>
        <v>2.1666666666666665</v>
      </c>
    </row>
    <row r="260" spans="1:26" x14ac:dyDescent="0.25">
      <c r="A260" t="s">
        <v>288</v>
      </c>
      <c r="B260" s="7">
        <v>56</v>
      </c>
      <c r="C260" s="7" t="s">
        <v>22</v>
      </c>
      <c r="D260" s="8" t="s">
        <v>28</v>
      </c>
      <c r="E260" s="2">
        <v>15.7</v>
      </c>
      <c r="F260" s="2"/>
      <c r="G260" s="2">
        <v>47</v>
      </c>
      <c r="H260" s="2"/>
      <c r="I260" s="2">
        <v>35</v>
      </c>
      <c r="J260" s="2"/>
      <c r="K260" s="2">
        <v>28</v>
      </c>
      <c r="L260" s="2"/>
      <c r="M260" s="2">
        <v>0</v>
      </c>
      <c r="N260" s="2">
        <v>0</v>
      </c>
      <c r="O260" s="2">
        <v>2</v>
      </c>
      <c r="P260" s="2">
        <v>0</v>
      </c>
      <c r="Q260" s="2">
        <v>0</v>
      </c>
      <c r="R260" s="2">
        <v>10</v>
      </c>
      <c r="S260" s="2"/>
      <c r="T260" s="2"/>
      <c r="U260" s="2"/>
      <c r="V260" s="2"/>
      <c r="W260" s="2"/>
      <c r="X260" s="2"/>
      <c r="Y260">
        <f t="shared" si="8"/>
        <v>2</v>
      </c>
      <c r="Z260">
        <f t="shared" si="9"/>
        <v>5</v>
      </c>
    </row>
    <row r="261" spans="1:26" x14ac:dyDescent="0.25">
      <c r="A261" t="s">
        <v>289</v>
      </c>
      <c r="B261" s="7">
        <v>57</v>
      </c>
      <c r="C261" s="7" t="s">
        <v>22</v>
      </c>
      <c r="D261" s="8" t="s">
        <v>28</v>
      </c>
      <c r="E261" s="2">
        <v>14.2</v>
      </c>
      <c r="F261" s="2"/>
      <c r="G261" s="2">
        <v>19</v>
      </c>
      <c r="H261" s="2"/>
      <c r="I261" s="2">
        <v>36</v>
      </c>
      <c r="J261" s="2"/>
      <c r="K261" s="2">
        <v>30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>
        <f t="shared" si="8"/>
        <v>0</v>
      </c>
      <c r="Z261" t="e">
        <f t="shared" si="9"/>
        <v>#DIV/0!</v>
      </c>
    </row>
    <row r="262" spans="1:26" x14ac:dyDescent="0.25">
      <c r="A262" t="s">
        <v>290</v>
      </c>
      <c r="B262" s="7">
        <v>58</v>
      </c>
      <c r="C262" s="7" t="s">
        <v>22</v>
      </c>
      <c r="D262" s="8" t="s">
        <v>28</v>
      </c>
      <c r="E262" s="2">
        <v>12.8</v>
      </c>
      <c r="F262" s="2">
        <v>14</v>
      </c>
      <c r="G262" s="2"/>
      <c r="H262" s="2">
        <v>26</v>
      </c>
      <c r="I262" s="2"/>
      <c r="J262" s="2">
        <v>43</v>
      </c>
      <c r="K262" s="2">
        <v>30</v>
      </c>
      <c r="L262" s="2"/>
      <c r="M262" s="2"/>
      <c r="N262" s="2"/>
      <c r="O262" s="2"/>
      <c r="P262" s="2"/>
      <c r="Q262" s="2"/>
      <c r="R262" s="2"/>
      <c r="S262" s="2">
        <v>2</v>
      </c>
      <c r="T262" s="2">
        <v>0</v>
      </c>
      <c r="U262" s="2">
        <v>0</v>
      </c>
      <c r="V262" s="2">
        <v>1</v>
      </c>
      <c r="W262" s="2">
        <v>0</v>
      </c>
      <c r="X262" s="2">
        <v>7</v>
      </c>
      <c r="Y262">
        <f t="shared" si="8"/>
        <v>3</v>
      </c>
      <c r="Z262">
        <f t="shared" si="9"/>
        <v>2.3333333333333335</v>
      </c>
    </row>
    <row r="263" spans="1:26" x14ac:dyDescent="0.25">
      <c r="A263" t="s">
        <v>291</v>
      </c>
      <c r="B263" s="7">
        <v>59</v>
      </c>
      <c r="C263" s="7" t="s">
        <v>22</v>
      </c>
      <c r="D263" s="8" t="s">
        <v>28</v>
      </c>
      <c r="E263" s="2">
        <v>10.5</v>
      </c>
      <c r="F263" s="2"/>
      <c r="G263" s="2">
        <v>25</v>
      </c>
      <c r="H263" s="2"/>
      <c r="I263" s="2">
        <v>24</v>
      </c>
      <c r="J263" s="2"/>
      <c r="K263" s="2">
        <v>29</v>
      </c>
      <c r="L263" s="2"/>
      <c r="M263" s="2">
        <v>1</v>
      </c>
      <c r="N263" s="2">
        <v>0</v>
      </c>
      <c r="O263" s="2">
        <v>3</v>
      </c>
      <c r="P263" s="2">
        <v>0</v>
      </c>
      <c r="Q263" s="2">
        <v>0</v>
      </c>
      <c r="R263" s="2">
        <v>9</v>
      </c>
      <c r="S263" s="2">
        <v>1</v>
      </c>
      <c r="T263" s="2">
        <v>0</v>
      </c>
      <c r="U263" s="2">
        <v>4</v>
      </c>
      <c r="V263" s="2">
        <v>2</v>
      </c>
      <c r="W263" s="2">
        <v>0</v>
      </c>
      <c r="X263" s="2">
        <v>11</v>
      </c>
      <c r="Y263">
        <f t="shared" si="8"/>
        <v>11</v>
      </c>
      <c r="Z263">
        <f t="shared" si="9"/>
        <v>1.8181818181818181</v>
      </c>
    </row>
    <row r="264" spans="1:26" x14ac:dyDescent="0.25">
      <c r="A264" t="s">
        <v>292</v>
      </c>
      <c r="B264" s="7">
        <v>60</v>
      </c>
      <c r="C264" s="7" t="s">
        <v>22</v>
      </c>
      <c r="D264" s="8" t="s">
        <v>28</v>
      </c>
      <c r="E264" s="2">
        <v>10</v>
      </c>
      <c r="F264" s="2">
        <v>16</v>
      </c>
      <c r="G264" s="2">
        <v>19</v>
      </c>
      <c r="H264" s="2">
        <v>34</v>
      </c>
      <c r="I264" s="2">
        <v>31</v>
      </c>
      <c r="J264" s="2">
        <v>45</v>
      </c>
      <c r="K264" s="2">
        <v>29</v>
      </c>
      <c r="L264" s="2">
        <v>298</v>
      </c>
      <c r="M264" s="2">
        <v>2</v>
      </c>
      <c r="N264" s="2">
        <v>1</v>
      </c>
      <c r="O264" s="2">
        <v>1</v>
      </c>
      <c r="P264" s="2">
        <v>2</v>
      </c>
      <c r="Q264" s="2">
        <v>0</v>
      </c>
      <c r="R264" s="2">
        <v>25</v>
      </c>
      <c r="S264" s="2">
        <v>1</v>
      </c>
      <c r="T264" s="2">
        <v>1</v>
      </c>
      <c r="U264" s="2">
        <v>2</v>
      </c>
      <c r="V264" s="2">
        <v>0</v>
      </c>
      <c r="W264" s="2">
        <v>0</v>
      </c>
      <c r="X264" s="2">
        <v>17</v>
      </c>
      <c r="Y264">
        <f t="shared" si="8"/>
        <v>10</v>
      </c>
      <c r="Z264">
        <f t="shared" si="9"/>
        <v>4.2</v>
      </c>
    </row>
    <row r="265" spans="1:26" x14ac:dyDescent="0.25">
      <c r="A265" t="s">
        <v>293</v>
      </c>
      <c r="B265" s="7">
        <v>61</v>
      </c>
      <c r="C265" s="7" t="s">
        <v>22</v>
      </c>
      <c r="D265" s="8" t="s">
        <v>28</v>
      </c>
      <c r="E265" s="2">
        <v>17</v>
      </c>
      <c r="F265" s="2"/>
      <c r="G265" s="2">
        <v>28</v>
      </c>
      <c r="H265" s="2">
        <v>67</v>
      </c>
      <c r="I265" s="2">
        <v>46</v>
      </c>
      <c r="J265" s="2">
        <v>57</v>
      </c>
      <c r="K265" s="2">
        <v>41</v>
      </c>
      <c r="L265" s="2"/>
      <c r="M265" s="2">
        <v>0</v>
      </c>
      <c r="N265" s="2">
        <v>2</v>
      </c>
      <c r="O265" s="2">
        <v>1</v>
      </c>
      <c r="P265" s="2">
        <v>0</v>
      </c>
      <c r="Q265" s="2">
        <v>0</v>
      </c>
      <c r="R265" s="2">
        <v>23</v>
      </c>
      <c r="S265" s="2"/>
      <c r="T265" s="2"/>
      <c r="U265" s="2"/>
      <c r="V265" s="2"/>
      <c r="W265" s="2"/>
      <c r="X265" s="2"/>
      <c r="Y265">
        <f t="shared" si="8"/>
        <v>3</v>
      </c>
      <c r="Z265">
        <f t="shared" si="9"/>
        <v>7.666666666666667</v>
      </c>
    </row>
    <row r="266" spans="1:26" x14ac:dyDescent="0.25">
      <c r="A266" t="s">
        <v>294</v>
      </c>
      <c r="B266" s="7">
        <v>62</v>
      </c>
      <c r="C266" s="7" t="s">
        <v>22</v>
      </c>
      <c r="D266" s="8" t="s">
        <v>28</v>
      </c>
      <c r="E266" s="2">
        <v>15</v>
      </c>
      <c r="F266" s="2"/>
      <c r="G266" s="2"/>
      <c r="H266" s="2"/>
      <c r="I266" s="2"/>
      <c r="J266" s="2"/>
      <c r="K266" s="2">
        <v>33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>
        <f t="shared" si="8"/>
        <v>0</v>
      </c>
      <c r="Z266" t="e">
        <f t="shared" si="9"/>
        <v>#DIV/0!</v>
      </c>
    </row>
    <row r="267" spans="1:26" x14ac:dyDescent="0.25">
      <c r="A267" t="s">
        <v>295</v>
      </c>
      <c r="B267" s="7">
        <v>63</v>
      </c>
      <c r="C267" s="7" t="s">
        <v>22</v>
      </c>
      <c r="D267" s="8" t="s">
        <v>28</v>
      </c>
      <c r="E267" s="2">
        <v>13.5</v>
      </c>
      <c r="F267" s="2"/>
      <c r="G267" s="2">
        <v>36</v>
      </c>
      <c r="H267" s="2"/>
      <c r="I267" s="2">
        <v>26</v>
      </c>
      <c r="J267" s="2"/>
      <c r="K267" s="2">
        <v>31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>
        <f t="shared" si="8"/>
        <v>0</v>
      </c>
      <c r="Z267" t="e">
        <f t="shared" si="9"/>
        <v>#DIV/0!</v>
      </c>
    </row>
    <row r="268" spans="1:26" x14ac:dyDescent="0.25">
      <c r="A268" t="s">
        <v>296</v>
      </c>
      <c r="B268" s="7">
        <v>64</v>
      </c>
      <c r="C268" s="7" t="s">
        <v>22</v>
      </c>
      <c r="D268" s="8" t="s">
        <v>28</v>
      </c>
      <c r="E268" s="2">
        <v>14.8</v>
      </c>
      <c r="F268" s="2"/>
      <c r="G268" s="2"/>
      <c r="H268" s="2"/>
      <c r="I268" s="2"/>
      <c r="J268" s="2"/>
      <c r="K268" s="2">
        <v>33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>
        <f t="shared" si="8"/>
        <v>0</v>
      </c>
      <c r="Z268" t="e">
        <f t="shared" si="9"/>
        <v>#DIV/0!</v>
      </c>
    </row>
    <row r="269" spans="1:26" x14ac:dyDescent="0.25">
      <c r="A269" t="s">
        <v>297</v>
      </c>
      <c r="B269" s="7">
        <v>41</v>
      </c>
      <c r="C269" s="7" t="s">
        <v>23</v>
      </c>
      <c r="D269" s="8" t="s">
        <v>28</v>
      </c>
      <c r="E269" s="2">
        <v>21.5</v>
      </c>
      <c r="F269" s="2">
        <v>27.5</v>
      </c>
      <c r="G269" s="2"/>
      <c r="H269" s="2">
        <v>49</v>
      </c>
      <c r="I269" s="2"/>
      <c r="J269" s="2">
        <v>34.299999999999997</v>
      </c>
      <c r="K269" s="2">
        <v>33</v>
      </c>
      <c r="L269" s="2">
        <v>1058</v>
      </c>
      <c r="M269" s="2"/>
      <c r="N269" s="2"/>
      <c r="O269" s="2"/>
      <c r="P269" s="2"/>
      <c r="Q269" s="2"/>
      <c r="R269" s="2"/>
      <c r="S269" s="2">
        <v>4</v>
      </c>
      <c r="T269" s="2">
        <v>1</v>
      </c>
      <c r="U269" s="2">
        <v>3</v>
      </c>
      <c r="V269" s="2">
        <v>4</v>
      </c>
      <c r="W269" s="2">
        <v>0</v>
      </c>
      <c r="X269" s="2">
        <v>90</v>
      </c>
      <c r="Y269">
        <f t="shared" si="8"/>
        <v>12</v>
      </c>
      <c r="Z269">
        <f t="shared" si="9"/>
        <v>7.5</v>
      </c>
    </row>
    <row r="270" spans="1:26" x14ac:dyDescent="0.25">
      <c r="A270" t="s">
        <v>298</v>
      </c>
      <c r="B270" s="7">
        <v>42</v>
      </c>
      <c r="C270" s="7" t="s">
        <v>23</v>
      </c>
      <c r="D270" s="8" t="s">
        <v>28</v>
      </c>
      <c r="E270" s="2">
        <v>16.5</v>
      </c>
      <c r="F270" s="2"/>
      <c r="G270" s="2">
        <v>40</v>
      </c>
      <c r="H270" s="2"/>
      <c r="I270" s="2">
        <v>49</v>
      </c>
      <c r="J270" s="2"/>
      <c r="K270" s="2">
        <v>30</v>
      </c>
      <c r="L270" s="2"/>
      <c r="M270" s="2">
        <v>1</v>
      </c>
      <c r="N270" s="2">
        <v>0</v>
      </c>
      <c r="O270" s="2">
        <v>1</v>
      </c>
      <c r="P270" s="2">
        <v>0</v>
      </c>
      <c r="Q270" s="2">
        <v>0</v>
      </c>
      <c r="R270" s="2">
        <v>4</v>
      </c>
      <c r="S270" s="2"/>
      <c r="T270" s="2"/>
      <c r="U270" s="2"/>
      <c r="V270" s="2"/>
      <c r="W270" s="2"/>
      <c r="X270" s="2"/>
      <c r="Y270">
        <f t="shared" si="8"/>
        <v>2</v>
      </c>
      <c r="Z270">
        <f t="shared" si="9"/>
        <v>2</v>
      </c>
    </row>
    <row r="271" spans="1:26" x14ac:dyDescent="0.25">
      <c r="A271" t="s">
        <v>299</v>
      </c>
      <c r="B271" s="7">
        <v>43</v>
      </c>
      <c r="C271" s="7" t="s">
        <v>23</v>
      </c>
      <c r="D271" s="8" t="s">
        <v>28</v>
      </c>
      <c r="E271" s="2">
        <v>18.5</v>
      </c>
      <c r="F271" s="2">
        <v>20</v>
      </c>
      <c r="G271" s="2">
        <v>45</v>
      </c>
      <c r="H271" s="2">
        <v>29</v>
      </c>
      <c r="I271" s="2">
        <v>44</v>
      </c>
      <c r="J271" s="2">
        <v>44</v>
      </c>
      <c r="K271" s="2">
        <v>30</v>
      </c>
      <c r="L271" s="2"/>
      <c r="M271" s="2">
        <v>1</v>
      </c>
      <c r="N271" s="2">
        <v>1</v>
      </c>
      <c r="O271" s="2">
        <v>0</v>
      </c>
      <c r="P271" s="2">
        <v>0</v>
      </c>
      <c r="Q271" s="2">
        <v>0</v>
      </c>
      <c r="R271" s="2">
        <v>4</v>
      </c>
      <c r="S271" s="2">
        <v>2</v>
      </c>
      <c r="T271" s="2">
        <v>1</v>
      </c>
      <c r="U271" s="2">
        <v>0</v>
      </c>
      <c r="V271" s="2">
        <v>1</v>
      </c>
      <c r="W271" s="2">
        <v>0</v>
      </c>
      <c r="X271" s="2">
        <v>9</v>
      </c>
      <c r="Y271">
        <f t="shared" si="8"/>
        <v>6</v>
      </c>
      <c r="Z271">
        <f t="shared" si="9"/>
        <v>2.1666666666666665</v>
      </c>
    </row>
    <row r="272" spans="1:26" x14ac:dyDescent="0.25">
      <c r="A272" t="s">
        <v>300</v>
      </c>
      <c r="B272" s="7">
        <v>44</v>
      </c>
      <c r="C272" s="7" t="s">
        <v>23</v>
      </c>
      <c r="D272" s="8" t="s">
        <v>28</v>
      </c>
      <c r="E272" s="2">
        <v>18.8</v>
      </c>
      <c r="F272" s="2">
        <v>22</v>
      </c>
      <c r="G272" s="2"/>
      <c r="H272" s="2">
        <v>21</v>
      </c>
      <c r="I272" s="2"/>
      <c r="J272" s="2">
        <v>28.5</v>
      </c>
      <c r="K272" s="2">
        <v>33</v>
      </c>
      <c r="L272" s="2"/>
      <c r="M272" s="2"/>
      <c r="N272" s="2"/>
      <c r="O272" s="2"/>
      <c r="P272" s="2"/>
      <c r="Q272" s="2"/>
      <c r="R272" s="2"/>
      <c r="S272" s="2">
        <v>2</v>
      </c>
      <c r="T272" s="2">
        <v>0</v>
      </c>
      <c r="U272" s="2">
        <v>1</v>
      </c>
      <c r="V272" s="2">
        <v>0</v>
      </c>
      <c r="W272" s="2">
        <v>0</v>
      </c>
      <c r="X272" s="2">
        <v>7</v>
      </c>
      <c r="Y272">
        <f t="shared" si="8"/>
        <v>3</v>
      </c>
      <c r="Z272">
        <f t="shared" si="9"/>
        <v>2.3333333333333335</v>
      </c>
    </row>
    <row r="273" spans="1:26" x14ac:dyDescent="0.25">
      <c r="A273" t="s">
        <v>301</v>
      </c>
      <c r="B273" s="7">
        <v>45</v>
      </c>
      <c r="C273" s="7" t="s">
        <v>23</v>
      </c>
      <c r="D273" s="8" t="s">
        <v>28</v>
      </c>
      <c r="E273" s="2">
        <v>18</v>
      </c>
      <c r="F273" s="2"/>
      <c r="G273" s="2"/>
      <c r="H273" s="2"/>
      <c r="I273" s="2"/>
      <c r="J273" s="2"/>
      <c r="K273" s="2">
        <v>33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>
        <f t="shared" si="8"/>
        <v>0</v>
      </c>
      <c r="Z273" t="e">
        <f t="shared" si="9"/>
        <v>#DIV/0!</v>
      </c>
    </row>
    <row r="274" spans="1:26" x14ac:dyDescent="0.25">
      <c r="A274" t="s">
        <v>302</v>
      </c>
      <c r="B274" s="7">
        <v>46</v>
      </c>
      <c r="C274" s="7" t="s">
        <v>23</v>
      </c>
      <c r="D274" s="8" t="s">
        <v>28</v>
      </c>
      <c r="E274" s="2">
        <v>25</v>
      </c>
      <c r="F274" s="2">
        <v>23</v>
      </c>
      <c r="G274" s="2">
        <v>146</v>
      </c>
      <c r="H274" s="2"/>
      <c r="I274" s="2">
        <v>60</v>
      </c>
      <c r="J274" s="2"/>
      <c r="K274" s="2">
        <v>30</v>
      </c>
      <c r="L274" s="2"/>
      <c r="M274" s="2">
        <v>2</v>
      </c>
      <c r="N274" s="2">
        <v>1</v>
      </c>
      <c r="O274" s="2">
        <v>3</v>
      </c>
      <c r="P274" s="2">
        <v>0</v>
      </c>
      <c r="Q274" s="2">
        <v>0</v>
      </c>
      <c r="R274" s="2">
        <v>42</v>
      </c>
      <c r="S274" s="2"/>
      <c r="T274" s="2"/>
      <c r="U274" s="2"/>
      <c r="V274" s="2"/>
      <c r="W274" s="2"/>
      <c r="X274" s="2"/>
      <c r="Y274">
        <f t="shared" si="8"/>
        <v>6</v>
      </c>
      <c r="Z274">
        <f t="shared" si="9"/>
        <v>7</v>
      </c>
    </row>
    <row r="275" spans="1:26" x14ac:dyDescent="0.25">
      <c r="A275" t="s">
        <v>303</v>
      </c>
      <c r="B275" s="7">
        <v>47</v>
      </c>
      <c r="C275" s="7" t="s">
        <v>23</v>
      </c>
      <c r="D275" s="8" t="s">
        <v>28</v>
      </c>
      <c r="E275" s="2">
        <v>22.5</v>
      </c>
      <c r="F275" s="2">
        <v>19</v>
      </c>
      <c r="G275" s="2">
        <v>65</v>
      </c>
      <c r="H275" s="2">
        <v>39</v>
      </c>
      <c r="I275" s="2">
        <v>46.8</v>
      </c>
      <c r="J275" s="2">
        <v>53</v>
      </c>
      <c r="K275" s="2">
        <v>29</v>
      </c>
      <c r="L275" s="2"/>
      <c r="M275" s="2">
        <v>2</v>
      </c>
      <c r="N275" s="2">
        <v>0</v>
      </c>
      <c r="O275" s="2">
        <v>2</v>
      </c>
      <c r="P275" s="2">
        <v>0</v>
      </c>
      <c r="Q275" s="2">
        <v>1</v>
      </c>
      <c r="R275" s="2">
        <v>23</v>
      </c>
      <c r="S275" s="2">
        <v>0</v>
      </c>
      <c r="T275" s="2">
        <v>3</v>
      </c>
      <c r="U275" s="2">
        <v>0</v>
      </c>
      <c r="V275" s="2">
        <v>0</v>
      </c>
      <c r="W275" s="2">
        <v>0</v>
      </c>
      <c r="X275" s="2">
        <v>6</v>
      </c>
      <c r="Y275">
        <f t="shared" si="8"/>
        <v>8</v>
      </c>
      <c r="Z275">
        <f t="shared" si="9"/>
        <v>3.625</v>
      </c>
    </row>
    <row r="276" spans="1:26" x14ac:dyDescent="0.25">
      <c r="A276" t="s">
        <v>304</v>
      </c>
      <c r="B276" s="7">
        <v>48</v>
      </c>
      <c r="C276" s="7" t="s">
        <v>23</v>
      </c>
      <c r="D276" s="8" t="s">
        <v>28</v>
      </c>
      <c r="E276" s="2">
        <v>20.6</v>
      </c>
      <c r="F276" s="2"/>
      <c r="G276" s="2"/>
      <c r="H276" s="2"/>
      <c r="I276" s="2"/>
      <c r="J276" s="2"/>
      <c r="K276" s="2">
        <v>43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>
        <f t="shared" si="8"/>
        <v>0</v>
      </c>
      <c r="Z276" t="e">
        <f t="shared" si="9"/>
        <v>#DIV/0!</v>
      </c>
    </row>
    <row r="277" spans="1:26" x14ac:dyDescent="0.25">
      <c r="A277" t="s">
        <v>305</v>
      </c>
      <c r="B277" s="7">
        <v>49</v>
      </c>
      <c r="C277" s="7" t="s">
        <v>23</v>
      </c>
      <c r="D277" s="8" t="s">
        <v>28</v>
      </c>
      <c r="E277" s="2">
        <v>19</v>
      </c>
      <c r="F277" s="2">
        <v>20.5</v>
      </c>
      <c r="G277" s="2">
        <v>39</v>
      </c>
      <c r="H277" s="2">
        <v>67</v>
      </c>
      <c r="I277" s="2">
        <v>44</v>
      </c>
      <c r="J277" s="2">
        <v>59</v>
      </c>
      <c r="K277" s="2">
        <v>28</v>
      </c>
      <c r="L277" s="2">
        <v>182</v>
      </c>
      <c r="M277" s="2">
        <v>4</v>
      </c>
      <c r="N277" s="2">
        <v>0</v>
      </c>
      <c r="O277" s="2">
        <v>0</v>
      </c>
      <c r="P277" s="2">
        <v>1</v>
      </c>
      <c r="Q277" s="2">
        <v>1</v>
      </c>
      <c r="R277" s="2">
        <v>12</v>
      </c>
      <c r="S277" s="2">
        <v>1</v>
      </c>
      <c r="T277" s="2">
        <v>2</v>
      </c>
      <c r="U277" s="2">
        <v>0</v>
      </c>
      <c r="V277" s="2">
        <v>0</v>
      </c>
      <c r="W277" s="2">
        <v>0</v>
      </c>
      <c r="X277" s="2">
        <v>4</v>
      </c>
      <c r="Y277">
        <f t="shared" si="8"/>
        <v>9</v>
      </c>
      <c r="Z277">
        <f t="shared" si="9"/>
        <v>1.7777777777777777</v>
      </c>
    </row>
    <row r="278" spans="1:26" x14ac:dyDescent="0.25">
      <c r="A278" t="s">
        <v>306</v>
      </c>
      <c r="B278" s="7">
        <v>50</v>
      </c>
      <c r="C278" s="7" t="s">
        <v>23</v>
      </c>
      <c r="D278" s="8" t="s">
        <v>28</v>
      </c>
      <c r="E278" s="2">
        <v>17</v>
      </c>
      <c r="F278" s="2">
        <v>22.5</v>
      </c>
      <c r="G278" s="2">
        <v>120</v>
      </c>
      <c r="H278" s="2">
        <v>298</v>
      </c>
      <c r="I278" s="2">
        <v>48</v>
      </c>
      <c r="J278" s="2">
        <v>61</v>
      </c>
      <c r="K278" s="2">
        <v>30</v>
      </c>
      <c r="L278" s="2">
        <v>421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18</v>
      </c>
      <c r="S278" s="2">
        <v>2</v>
      </c>
      <c r="T278" s="2">
        <v>3</v>
      </c>
      <c r="U278" s="2">
        <v>0</v>
      </c>
      <c r="V278" s="2">
        <v>0</v>
      </c>
      <c r="W278" s="2">
        <v>0</v>
      </c>
      <c r="X278" s="2">
        <v>9</v>
      </c>
      <c r="Y278">
        <f t="shared" si="8"/>
        <v>8</v>
      </c>
      <c r="Z278">
        <f t="shared" si="9"/>
        <v>3.375</v>
      </c>
    </row>
    <row r="279" spans="1:26" x14ac:dyDescent="0.25">
      <c r="A279" t="s">
        <v>307</v>
      </c>
      <c r="B279" s="7">
        <v>51</v>
      </c>
      <c r="C279" s="7" t="s">
        <v>23</v>
      </c>
      <c r="D279" s="8" t="s">
        <v>28</v>
      </c>
      <c r="E279" s="2">
        <v>17.5</v>
      </c>
      <c r="F279" s="2">
        <v>24.5</v>
      </c>
      <c r="G279" s="2"/>
      <c r="H279" s="2">
        <v>28</v>
      </c>
      <c r="I279" s="2"/>
      <c r="J279" s="2">
        <v>56.2</v>
      </c>
      <c r="K279" s="2">
        <v>33</v>
      </c>
      <c r="L279" s="2"/>
      <c r="M279" s="2"/>
      <c r="N279" s="2"/>
      <c r="O279" s="2"/>
      <c r="P279" s="2"/>
      <c r="Q279" s="2"/>
      <c r="R279" s="2"/>
      <c r="S279" s="2">
        <v>5</v>
      </c>
      <c r="T279" s="2">
        <v>0</v>
      </c>
      <c r="U279" s="2">
        <v>1</v>
      </c>
      <c r="V279" s="2">
        <v>0</v>
      </c>
      <c r="W279" s="2">
        <v>0</v>
      </c>
      <c r="X279" s="2">
        <v>25</v>
      </c>
      <c r="Y279">
        <f t="shared" si="8"/>
        <v>6</v>
      </c>
      <c r="Z279">
        <f t="shared" si="9"/>
        <v>4.166666666666667</v>
      </c>
    </row>
    <row r="280" spans="1:26" x14ac:dyDescent="0.25">
      <c r="A280" t="s">
        <v>308</v>
      </c>
      <c r="B280" s="7">
        <v>52</v>
      </c>
      <c r="C280" s="7" t="s">
        <v>23</v>
      </c>
      <c r="D280" s="8" t="s">
        <v>28</v>
      </c>
      <c r="E280" s="2">
        <v>23</v>
      </c>
      <c r="F280" s="2">
        <v>25</v>
      </c>
      <c r="G280" s="2"/>
      <c r="H280" s="2">
        <v>23</v>
      </c>
      <c r="I280" s="2"/>
      <c r="J280" s="2">
        <v>51</v>
      </c>
      <c r="K280" s="2">
        <v>30</v>
      </c>
      <c r="L280" s="2">
        <v>305</v>
      </c>
      <c r="M280" s="2"/>
      <c r="N280" s="2"/>
      <c r="O280" s="2"/>
      <c r="P280" s="2"/>
      <c r="Q280" s="2"/>
      <c r="R280" s="2"/>
      <c r="S280" s="2">
        <v>0</v>
      </c>
      <c r="T280" s="2">
        <v>5</v>
      </c>
      <c r="U280" s="2">
        <v>0</v>
      </c>
      <c r="V280" s="2">
        <v>0</v>
      </c>
      <c r="W280" s="2">
        <v>0</v>
      </c>
      <c r="X280" s="2">
        <v>12</v>
      </c>
      <c r="Y280">
        <f t="shared" si="8"/>
        <v>5</v>
      </c>
      <c r="Z280">
        <f t="shared" si="9"/>
        <v>2.4</v>
      </c>
    </row>
    <row r="281" spans="1:26" x14ac:dyDescent="0.25">
      <c r="A281" t="s">
        <v>309</v>
      </c>
      <c r="B281" s="7">
        <v>53</v>
      </c>
      <c r="C281" s="7" t="s">
        <v>23</v>
      </c>
      <c r="D281" s="8" t="s">
        <v>28</v>
      </c>
      <c r="E281" s="2">
        <v>21.1</v>
      </c>
      <c r="F281" s="2">
        <v>31</v>
      </c>
      <c r="G281" s="2">
        <v>20</v>
      </c>
      <c r="H281" s="2">
        <v>151</v>
      </c>
      <c r="I281" s="2">
        <v>57.2</v>
      </c>
      <c r="J281" s="2">
        <v>75</v>
      </c>
      <c r="K281" s="2">
        <v>36</v>
      </c>
      <c r="L281" s="2">
        <v>3389</v>
      </c>
      <c r="M281" s="2">
        <v>1</v>
      </c>
      <c r="N281" s="2">
        <v>2</v>
      </c>
      <c r="O281" s="2">
        <v>1</v>
      </c>
      <c r="P281" s="2">
        <v>0</v>
      </c>
      <c r="Q281" s="2">
        <v>0</v>
      </c>
      <c r="R281" s="2">
        <v>7</v>
      </c>
      <c r="S281" s="2">
        <v>3</v>
      </c>
      <c r="T281" s="2">
        <v>4</v>
      </c>
      <c r="U281" s="2">
        <v>3</v>
      </c>
      <c r="V281" s="2">
        <v>0</v>
      </c>
      <c r="W281" s="2">
        <v>0</v>
      </c>
      <c r="X281" s="2">
        <v>43</v>
      </c>
      <c r="Y281">
        <f t="shared" si="8"/>
        <v>14</v>
      </c>
      <c r="Z281">
        <f t="shared" si="9"/>
        <v>3.5714285714285716</v>
      </c>
    </row>
    <row r="282" spans="1:26" x14ac:dyDescent="0.25">
      <c r="A282" t="s">
        <v>310</v>
      </c>
      <c r="B282" s="7">
        <v>54</v>
      </c>
      <c r="C282" s="7" t="s">
        <v>23</v>
      </c>
      <c r="D282" s="8" t="s">
        <v>28</v>
      </c>
      <c r="E282" s="2">
        <v>22.8</v>
      </c>
      <c r="F282" s="2"/>
      <c r="G282" s="2"/>
      <c r="H282" s="2"/>
      <c r="I282" s="2"/>
      <c r="J282" s="2"/>
      <c r="K282" s="2">
        <v>33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>
        <f t="shared" si="8"/>
        <v>0</v>
      </c>
      <c r="Z282" t="e">
        <f t="shared" si="9"/>
        <v>#DIV/0!</v>
      </c>
    </row>
    <row r="283" spans="1:26" x14ac:dyDescent="0.25">
      <c r="A283" t="s">
        <v>311</v>
      </c>
      <c r="B283" s="7">
        <v>55</v>
      </c>
      <c r="C283" s="7" t="s">
        <v>23</v>
      </c>
      <c r="D283" s="8" t="s">
        <v>28</v>
      </c>
      <c r="E283" s="2">
        <v>19.8</v>
      </c>
      <c r="F283" s="2">
        <v>36</v>
      </c>
      <c r="G283" s="2">
        <v>89</v>
      </c>
      <c r="H283" s="2">
        <v>148</v>
      </c>
      <c r="I283" s="2">
        <v>63.2</v>
      </c>
      <c r="J283" s="2">
        <v>71.099999999999994</v>
      </c>
      <c r="K283" s="2">
        <v>41</v>
      </c>
      <c r="L283" s="2">
        <v>5636</v>
      </c>
      <c r="M283" s="2">
        <v>5</v>
      </c>
      <c r="N283" s="2">
        <v>0</v>
      </c>
      <c r="O283" s="2">
        <v>13</v>
      </c>
      <c r="P283" s="2">
        <v>0</v>
      </c>
      <c r="Q283" s="2">
        <v>0</v>
      </c>
      <c r="R283" s="2">
        <v>68</v>
      </c>
      <c r="S283" s="2">
        <v>2</v>
      </c>
      <c r="T283" s="2">
        <v>0</v>
      </c>
      <c r="U283" s="2">
        <v>7</v>
      </c>
      <c r="V283" s="2">
        <v>1</v>
      </c>
      <c r="W283" s="2">
        <v>0</v>
      </c>
      <c r="X283" s="2">
        <v>46</v>
      </c>
      <c r="Y283">
        <f t="shared" si="8"/>
        <v>28</v>
      </c>
      <c r="Z283">
        <f t="shared" si="9"/>
        <v>4.0714285714285712</v>
      </c>
    </row>
    <row r="284" spans="1:26" x14ac:dyDescent="0.25">
      <c r="A284" t="s">
        <v>312</v>
      </c>
      <c r="B284" s="7">
        <v>56</v>
      </c>
      <c r="C284" s="7" t="s">
        <v>23</v>
      </c>
      <c r="D284" s="8" t="s">
        <v>28</v>
      </c>
      <c r="E284" s="2">
        <v>18.3</v>
      </c>
      <c r="F284" s="2">
        <v>22</v>
      </c>
      <c r="G284" s="2">
        <v>43</v>
      </c>
      <c r="H284" s="2">
        <v>27</v>
      </c>
      <c r="I284" s="2">
        <v>41</v>
      </c>
      <c r="J284" s="2">
        <v>41</v>
      </c>
      <c r="K284" s="2">
        <v>31</v>
      </c>
      <c r="L284" s="2"/>
      <c r="M284" s="2"/>
      <c r="N284" s="2"/>
      <c r="O284" s="2"/>
      <c r="P284" s="2"/>
      <c r="Q284" s="2"/>
      <c r="R284" s="2"/>
      <c r="S284" s="2">
        <v>1</v>
      </c>
      <c r="T284" s="2">
        <v>1</v>
      </c>
      <c r="U284" s="2">
        <v>1</v>
      </c>
      <c r="V284" s="2">
        <v>0</v>
      </c>
      <c r="W284" s="2">
        <v>0</v>
      </c>
      <c r="X284" s="2">
        <v>10</v>
      </c>
      <c r="Y284">
        <f t="shared" si="8"/>
        <v>3</v>
      </c>
      <c r="Z284">
        <f t="shared" si="9"/>
        <v>3.3333333333333335</v>
      </c>
    </row>
    <row r="285" spans="1:26" x14ac:dyDescent="0.25">
      <c r="A285" t="s">
        <v>313</v>
      </c>
      <c r="B285" s="7">
        <v>57</v>
      </c>
      <c r="C285" s="7" t="s">
        <v>23</v>
      </c>
      <c r="D285" s="8" t="s">
        <v>28</v>
      </c>
      <c r="E285" s="2">
        <v>18.5</v>
      </c>
      <c r="F285" s="2"/>
      <c r="G285" s="2">
        <v>27</v>
      </c>
      <c r="H285" s="2"/>
      <c r="I285" s="2">
        <v>33</v>
      </c>
      <c r="J285" s="2"/>
      <c r="K285" s="2">
        <v>31</v>
      </c>
      <c r="L285" s="2"/>
      <c r="M285" s="2">
        <v>0</v>
      </c>
      <c r="N285" s="2">
        <v>0</v>
      </c>
      <c r="O285" s="2">
        <v>1</v>
      </c>
      <c r="P285" s="2">
        <v>0</v>
      </c>
      <c r="Q285" s="2">
        <v>0</v>
      </c>
      <c r="R285" s="2">
        <v>5</v>
      </c>
      <c r="S285" s="2"/>
      <c r="T285" s="2"/>
      <c r="U285" s="2"/>
      <c r="V285" s="2"/>
      <c r="W285" s="2"/>
      <c r="X285" s="2"/>
      <c r="Y285">
        <f t="shared" si="8"/>
        <v>1</v>
      </c>
      <c r="Z285">
        <f t="shared" si="9"/>
        <v>5</v>
      </c>
    </row>
    <row r="286" spans="1:26" x14ac:dyDescent="0.25">
      <c r="A286" t="s">
        <v>314</v>
      </c>
      <c r="B286" s="7">
        <v>58</v>
      </c>
      <c r="C286" s="7" t="s">
        <v>23</v>
      </c>
      <c r="D286" s="8" t="s">
        <v>28</v>
      </c>
      <c r="E286" s="2">
        <v>20.5</v>
      </c>
      <c r="F286" s="2">
        <v>20.5</v>
      </c>
      <c r="G286" s="2">
        <v>94</v>
      </c>
      <c r="H286" s="2">
        <v>215</v>
      </c>
      <c r="I286" s="2">
        <v>41</v>
      </c>
      <c r="J286" s="2">
        <v>56</v>
      </c>
      <c r="K286" s="2">
        <v>30</v>
      </c>
      <c r="L286" s="2">
        <v>1059</v>
      </c>
      <c r="M286" s="2">
        <v>1</v>
      </c>
      <c r="N286" s="2">
        <v>1</v>
      </c>
      <c r="O286" s="2">
        <v>2</v>
      </c>
      <c r="P286" s="2">
        <v>1</v>
      </c>
      <c r="Q286" s="2">
        <v>0</v>
      </c>
      <c r="R286" s="2">
        <v>15</v>
      </c>
      <c r="S286" s="2">
        <v>3</v>
      </c>
      <c r="T286" s="2">
        <v>10</v>
      </c>
      <c r="U286" s="2">
        <v>0</v>
      </c>
      <c r="V286" s="2">
        <v>1</v>
      </c>
      <c r="W286" s="2">
        <v>0</v>
      </c>
      <c r="X286" s="2">
        <v>19</v>
      </c>
      <c r="Y286">
        <f t="shared" si="8"/>
        <v>19</v>
      </c>
      <c r="Z286">
        <f t="shared" si="9"/>
        <v>1.7894736842105263</v>
      </c>
    </row>
    <row r="287" spans="1:26" x14ac:dyDescent="0.25">
      <c r="A287" t="s">
        <v>315</v>
      </c>
      <c r="B287" s="7">
        <v>59</v>
      </c>
      <c r="C287" s="7" t="s">
        <v>23</v>
      </c>
      <c r="D287" s="8" t="s">
        <v>28</v>
      </c>
      <c r="E287" s="2">
        <v>20.399999999999999</v>
      </c>
      <c r="F287" s="2">
        <v>18</v>
      </c>
      <c r="G287" s="2">
        <v>114</v>
      </c>
      <c r="H287" s="2">
        <v>289</v>
      </c>
      <c r="I287" s="2">
        <v>40</v>
      </c>
      <c r="J287" s="2">
        <v>45</v>
      </c>
      <c r="K287" s="2">
        <v>30</v>
      </c>
      <c r="L287" s="2"/>
      <c r="M287" s="2">
        <v>3</v>
      </c>
      <c r="N287" s="2">
        <v>1</v>
      </c>
      <c r="O287" s="2">
        <v>3</v>
      </c>
      <c r="P287" s="2">
        <v>0</v>
      </c>
      <c r="Q287" s="2">
        <v>0</v>
      </c>
      <c r="R287" s="2">
        <v>36</v>
      </c>
      <c r="S287" s="2">
        <v>1</v>
      </c>
      <c r="T287" s="2">
        <v>2</v>
      </c>
      <c r="U287" s="2">
        <v>6</v>
      </c>
      <c r="V287" s="2">
        <v>0</v>
      </c>
      <c r="W287" s="2">
        <v>0</v>
      </c>
      <c r="X287" s="2">
        <v>35</v>
      </c>
      <c r="Y287">
        <f t="shared" si="8"/>
        <v>16</v>
      </c>
      <c r="Z287">
        <f t="shared" si="9"/>
        <v>4.4375</v>
      </c>
    </row>
    <row r="288" spans="1:26" x14ac:dyDescent="0.25">
      <c r="A288" t="s">
        <v>316</v>
      </c>
      <c r="B288" s="7">
        <v>60</v>
      </c>
      <c r="C288" s="7" t="s">
        <v>23</v>
      </c>
      <c r="D288" s="8" t="s">
        <v>28</v>
      </c>
      <c r="E288" s="2">
        <v>25.2</v>
      </c>
      <c r="F288" s="2"/>
      <c r="G288" s="2"/>
      <c r="H288" s="2"/>
      <c r="I288" s="2"/>
      <c r="J288" s="2"/>
      <c r="K288" s="2">
        <v>39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>
        <f t="shared" si="8"/>
        <v>0</v>
      </c>
      <c r="Z288" t="e">
        <f t="shared" si="9"/>
        <v>#DIV/0!</v>
      </c>
    </row>
    <row r="289" spans="1:26" x14ac:dyDescent="0.25">
      <c r="A289" t="s">
        <v>317</v>
      </c>
      <c r="B289" s="7">
        <v>61</v>
      </c>
      <c r="C289" s="7" t="s">
        <v>23</v>
      </c>
      <c r="D289" s="8" t="s">
        <v>28</v>
      </c>
      <c r="E289" s="2">
        <v>24.5</v>
      </c>
      <c r="F289" s="2">
        <v>41</v>
      </c>
      <c r="G289" s="2"/>
      <c r="H289" s="2"/>
      <c r="I289" s="2"/>
      <c r="J289" s="2"/>
      <c r="K289" s="2">
        <v>35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>
        <f t="shared" si="8"/>
        <v>0</v>
      </c>
      <c r="Z289" t="e">
        <f t="shared" si="9"/>
        <v>#DIV/0!</v>
      </c>
    </row>
    <row r="290" spans="1:26" x14ac:dyDescent="0.25">
      <c r="A290" t="s">
        <v>318</v>
      </c>
      <c r="B290" s="7">
        <v>62</v>
      </c>
      <c r="C290" s="7" t="s">
        <v>23</v>
      </c>
      <c r="D290" s="8" t="s">
        <v>28</v>
      </c>
      <c r="E290" s="2">
        <v>15</v>
      </c>
      <c r="F290" s="2">
        <v>20</v>
      </c>
      <c r="G290" s="2">
        <v>21</v>
      </c>
      <c r="H290" s="2">
        <v>36</v>
      </c>
      <c r="I290" s="2">
        <v>39.5</v>
      </c>
      <c r="J290" s="2">
        <v>42</v>
      </c>
      <c r="K290" s="2">
        <v>35</v>
      </c>
      <c r="L290" s="2">
        <v>139</v>
      </c>
      <c r="M290" s="2">
        <v>2</v>
      </c>
      <c r="N290" s="2">
        <v>0</v>
      </c>
      <c r="O290" s="2">
        <v>0</v>
      </c>
      <c r="P290" s="2">
        <v>0</v>
      </c>
      <c r="Q290" s="2">
        <v>0</v>
      </c>
      <c r="R290" s="2">
        <v>7</v>
      </c>
      <c r="S290" s="2">
        <v>1</v>
      </c>
      <c r="T290" s="2">
        <v>1</v>
      </c>
      <c r="U290" s="2">
        <v>1</v>
      </c>
      <c r="V290" s="2">
        <v>0</v>
      </c>
      <c r="W290" s="2">
        <v>0</v>
      </c>
      <c r="X290" s="2">
        <v>10</v>
      </c>
      <c r="Y290">
        <f t="shared" si="8"/>
        <v>5</v>
      </c>
      <c r="Z290">
        <f t="shared" si="9"/>
        <v>3.4</v>
      </c>
    </row>
    <row r="291" spans="1:26" x14ac:dyDescent="0.25">
      <c r="A291" t="s">
        <v>319</v>
      </c>
      <c r="B291" s="7">
        <v>63</v>
      </c>
      <c r="C291" s="7" t="s">
        <v>23</v>
      </c>
      <c r="D291" s="8" t="s">
        <v>28</v>
      </c>
      <c r="E291" s="2">
        <v>16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>
        <f t="shared" si="8"/>
        <v>0</v>
      </c>
      <c r="Z291" t="e">
        <f t="shared" si="9"/>
        <v>#DIV/0!</v>
      </c>
    </row>
    <row r="292" spans="1:26" x14ac:dyDescent="0.25">
      <c r="A292" t="s">
        <v>320</v>
      </c>
      <c r="B292" s="7">
        <v>64</v>
      </c>
      <c r="C292" s="7" t="s">
        <v>23</v>
      </c>
      <c r="D292" s="8" t="s">
        <v>28</v>
      </c>
      <c r="E292" s="2">
        <v>11.5</v>
      </c>
      <c r="F292" s="2">
        <v>24</v>
      </c>
      <c r="G292" s="2" t="s">
        <v>21</v>
      </c>
      <c r="H292" s="2">
        <v>78</v>
      </c>
      <c r="I292" s="2"/>
      <c r="J292" s="2">
        <v>72</v>
      </c>
      <c r="K292" s="2">
        <v>42</v>
      </c>
      <c r="L292" s="2">
        <v>1780</v>
      </c>
      <c r="M292" s="2"/>
      <c r="N292" s="2"/>
      <c r="O292" s="2"/>
      <c r="P292" s="2"/>
      <c r="Q292" s="2"/>
      <c r="R292" s="2"/>
      <c r="S292" s="2">
        <v>3</v>
      </c>
      <c r="T292" s="2">
        <v>0</v>
      </c>
      <c r="U292" s="2">
        <v>0</v>
      </c>
      <c r="V292" s="2">
        <v>0</v>
      </c>
      <c r="W292" s="2">
        <v>0</v>
      </c>
      <c r="X292" s="2">
        <v>25</v>
      </c>
      <c r="Y292">
        <f t="shared" si="8"/>
        <v>3</v>
      </c>
      <c r="Z292">
        <f t="shared" si="9"/>
        <v>8.3333333333333339</v>
      </c>
    </row>
    <row r="293" spans="1:26" x14ac:dyDescent="0.25">
      <c r="A293" t="s">
        <v>321</v>
      </c>
      <c r="B293" s="7">
        <v>41</v>
      </c>
      <c r="C293" s="7" t="s">
        <v>24</v>
      </c>
      <c r="D293" s="8" t="s">
        <v>28</v>
      </c>
      <c r="E293" s="2">
        <v>12.8</v>
      </c>
      <c r="F293" s="2">
        <v>19</v>
      </c>
      <c r="G293" s="2">
        <v>8</v>
      </c>
      <c r="H293" s="2">
        <v>78</v>
      </c>
      <c r="I293" s="2">
        <v>15</v>
      </c>
      <c r="J293" s="2">
        <v>29</v>
      </c>
      <c r="K293" s="2">
        <v>28</v>
      </c>
      <c r="L293" s="2"/>
      <c r="M293" s="2">
        <v>0</v>
      </c>
      <c r="N293" s="2">
        <v>0</v>
      </c>
      <c r="O293" s="2">
        <v>2</v>
      </c>
      <c r="P293" s="2">
        <v>0</v>
      </c>
      <c r="Q293" s="2">
        <v>0</v>
      </c>
      <c r="R293" s="2">
        <v>8</v>
      </c>
      <c r="S293" s="2">
        <v>0</v>
      </c>
      <c r="T293" s="2">
        <v>8</v>
      </c>
      <c r="U293" s="2">
        <v>0</v>
      </c>
      <c r="V293" s="2">
        <v>0</v>
      </c>
      <c r="W293" s="2">
        <v>0</v>
      </c>
      <c r="X293" s="2">
        <v>11</v>
      </c>
      <c r="Y293">
        <f t="shared" si="8"/>
        <v>10</v>
      </c>
      <c r="Z293">
        <f t="shared" si="9"/>
        <v>1.9</v>
      </c>
    </row>
    <row r="294" spans="1:26" x14ac:dyDescent="0.25">
      <c r="A294" t="s">
        <v>322</v>
      </c>
      <c r="B294" s="7">
        <v>42</v>
      </c>
      <c r="C294" s="7" t="s">
        <v>24</v>
      </c>
      <c r="D294" s="8" t="s">
        <v>28</v>
      </c>
      <c r="E294" s="2">
        <v>19.5</v>
      </c>
      <c r="F294" s="2">
        <v>20</v>
      </c>
      <c r="G294" s="2">
        <v>56</v>
      </c>
      <c r="H294" s="2">
        <v>45</v>
      </c>
      <c r="I294" s="2">
        <v>53</v>
      </c>
      <c r="J294" s="2">
        <v>54</v>
      </c>
      <c r="K294" s="2">
        <v>29</v>
      </c>
      <c r="L294" s="2"/>
      <c r="M294" s="2">
        <v>0</v>
      </c>
      <c r="N294" s="2">
        <v>0</v>
      </c>
      <c r="O294" s="2">
        <v>1</v>
      </c>
      <c r="P294" s="2">
        <v>0</v>
      </c>
      <c r="Q294" s="2">
        <v>0</v>
      </c>
      <c r="R294" s="2">
        <v>6</v>
      </c>
      <c r="S294" s="2">
        <v>0</v>
      </c>
      <c r="T294" s="2">
        <v>1</v>
      </c>
      <c r="U294" s="2">
        <v>0</v>
      </c>
      <c r="V294" s="2">
        <v>0</v>
      </c>
      <c r="W294" s="2">
        <v>0</v>
      </c>
      <c r="X294" s="2" t="e">
        <v>#VALUE!</v>
      </c>
      <c r="Y294">
        <f t="shared" si="8"/>
        <v>2</v>
      </c>
      <c r="Z294" t="e">
        <f t="shared" si="9"/>
        <v>#VALUE!</v>
      </c>
    </row>
    <row r="295" spans="1:26" x14ac:dyDescent="0.25">
      <c r="A295" t="s">
        <v>323</v>
      </c>
      <c r="B295" s="7">
        <v>43</v>
      </c>
      <c r="C295" s="7" t="s">
        <v>24</v>
      </c>
      <c r="D295" s="8" t="s">
        <v>28</v>
      </c>
      <c r="E295" s="2">
        <v>20.3</v>
      </c>
      <c r="F295" s="2"/>
      <c r="G295" s="2">
        <v>39</v>
      </c>
      <c r="H295" s="2"/>
      <c r="I295" s="2">
        <v>37</v>
      </c>
      <c r="J295" s="2"/>
      <c r="K295" s="2">
        <v>31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>
        <f t="shared" si="8"/>
        <v>0</v>
      </c>
      <c r="Z295" t="e">
        <f t="shared" si="9"/>
        <v>#DIV/0!</v>
      </c>
    </row>
    <row r="296" spans="1:26" x14ac:dyDescent="0.25">
      <c r="A296" t="s">
        <v>324</v>
      </c>
      <c r="B296" s="7">
        <v>44</v>
      </c>
      <c r="C296" s="7" t="s">
        <v>24</v>
      </c>
      <c r="D296" s="8" t="s">
        <v>28</v>
      </c>
      <c r="E296" s="2">
        <v>25.5</v>
      </c>
      <c r="F296" s="2">
        <v>28</v>
      </c>
      <c r="G296" s="2">
        <v>74</v>
      </c>
      <c r="H296" s="2">
        <v>140</v>
      </c>
      <c r="I296" s="2">
        <v>56</v>
      </c>
      <c r="J296" s="2">
        <v>63</v>
      </c>
      <c r="K296" s="2">
        <v>43</v>
      </c>
      <c r="L296" s="2">
        <v>4125</v>
      </c>
      <c r="M296" s="2">
        <v>2</v>
      </c>
      <c r="N296" s="2">
        <v>0</v>
      </c>
      <c r="O296" s="2">
        <v>11</v>
      </c>
      <c r="P296" s="2">
        <v>1</v>
      </c>
      <c r="Q296" s="2">
        <v>0</v>
      </c>
      <c r="R296" s="2">
        <v>45</v>
      </c>
      <c r="S296" s="2">
        <v>1</v>
      </c>
      <c r="T296" s="2">
        <v>0</v>
      </c>
      <c r="U296" s="2">
        <v>6</v>
      </c>
      <c r="V296" s="2">
        <v>1</v>
      </c>
      <c r="W296" s="2">
        <v>0</v>
      </c>
      <c r="X296" s="2">
        <v>64</v>
      </c>
      <c r="Y296">
        <f t="shared" si="8"/>
        <v>22</v>
      </c>
      <c r="Z296">
        <f t="shared" si="9"/>
        <v>4.9545454545454541</v>
      </c>
    </row>
    <row r="297" spans="1:26" x14ac:dyDescent="0.25">
      <c r="A297" t="s">
        <v>325</v>
      </c>
      <c r="B297" s="7">
        <v>45</v>
      </c>
      <c r="C297" s="7" t="s">
        <v>24</v>
      </c>
      <c r="D297" s="8" t="s">
        <v>28</v>
      </c>
      <c r="E297" s="2">
        <v>25.3</v>
      </c>
      <c r="F297" s="2">
        <v>24</v>
      </c>
      <c r="G297" s="2">
        <v>14</v>
      </c>
      <c r="H297" s="2"/>
      <c r="I297" s="2">
        <v>46.5</v>
      </c>
      <c r="J297" s="2"/>
      <c r="K297" s="2">
        <v>35</v>
      </c>
      <c r="L297" s="2"/>
      <c r="M297" s="2">
        <v>1</v>
      </c>
      <c r="N297" s="2">
        <v>0</v>
      </c>
      <c r="O297" s="2">
        <v>0</v>
      </c>
      <c r="P297" s="2">
        <v>0</v>
      </c>
      <c r="Q297" s="2">
        <v>0</v>
      </c>
      <c r="R297" s="2">
        <v>2</v>
      </c>
      <c r="S297" s="2"/>
      <c r="T297" s="2"/>
      <c r="U297" s="2"/>
      <c r="V297" s="2"/>
      <c r="W297" s="2"/>
      <c r="X297" s="2"/>
      <c r="Y297">
        <f t="shared" si="8"/>
        <v>1</v>
      </c>
      <c r="Z297">
        <f t="shared" si="9"/>
        <v>2</v>
      </c>
    </row>
    <row r="298" spans="1:26" x14ac:dyDescent="0.25">
      <c r="A298" t="s">
        <v>326</v>
      </c>
      <c r="B298" s="7">
        <v>46</v>
      </c>
      <c r="C298" s="7" t="s">
        <v>24</v>
      </c>
      <c r="D298" s="8" t="s">
        <v>28</v>
      </c>
      <c r="E298" s="2">
        <v>23.4</v>
      </c>
      <c r="F298" s="2">
        <v>26.5</v>
      </c>
      <c r="G298" s="2"/>
      <c r="H298" s="2">
        <v>62</v>
      </c>
      <c r="I298" s="2"/>
      <c r="J298" s="2">
        <v>54</v>
      </c>
      <c r="K298" s="2">
        <v>30</v>
      </c>
      <c r="L298" s="2">
        <v>5433</v>
      </c>
      <c r="M298" s="2"/>
      <c r="N298" s="2"/>
      <c r="O298" s="2"/>
      <c r="P298" s="2"/>
      <c r="Q298" s="2"/>
      <c r="R298" s="2"/>
      <c r="S298" s="2">
        <v>2</v>
      </c>
      <c r="T298" s="2">
        <v>3</v>
      </c>
      <c r="U298" s="2">
        <v>3</v>
      </c>
      <c r="V298" s="2">
        <v>1</v>
      </c>
      <c r="W298" s="2">
        <v>0</v>
      </c>
      <c r="X298" s="2">
        <v>73</v>
      </c>
      <c r="Y298">
        <f t="shared" si="8"/>
        <v>9</v>
      </c>
      <c r="Z298">
        <f t="shared" si="9"/>
        <v>8.1111111111111107</v>
      </c>
    </row>
    <row r="299" spans="1:26" x14ac:dyDescent="0.25">
      <c r="A299" t="s">
        <v>327</v>
      </c>
      <c r="B299" s="7">
        <v>47</v>
      </c>
      <c r="C299" s="7" t="s">
        <v>24</v>
      </c>
      <c r="D299" s="8" t="s">
        <v>28</v>
      </c>
      <c r="E299" s="2">
        <v>18.100000000000001</v>
      </c>
      <c r="F299" s="2">
        <v>17.5</v>
      </c>
      <c r="G299" s="2">
        <v>72</v>
      </c>
      <c r="H299" s="2">
        <v>89</v>
      </c>
      <c r="I299" s="2">
        <v>50.2</v>
      </c>
      <c r="J299" s="2">
        <v>54</v>
      </c>
      <c r="K299" s="2">
        <v>28</v>
      </c>
      <c r="L299" s="2">
        <v>1329</v>
      </c>
      <c r="M299" s="2">
        <v>1</v>
      </c>
      <c r="N299" s="2">
        <v>0</v>
      </c>
      <c r="O299" s="2">
        <v>0</v>
      </c>
      <c r="P299" s="2">
        <v>0</v>
      </c>
      <c r="Q299" s="2">
        <v>1</v>
      </c>
      <c r="R299" s="2">
        <v>7</v>
      </c>
      <c r="S299" s="2">
        <v>0</v>
      </c>
      <c r="T299" s="2">
        <v>4</v>
      </c>
      <c r="U299" s="2">
        <v>2</v>
      </c>
      <c r="V299" s="2">
        <v>0</v>
      </c>
      <c r="W299" s="2">
        <v>0</v>
      </c>
      <c r="X299" s="2">
        <v>28</v>
      </c>
      <c r="Y299">
        <f t="shared" si="8"/>
        <v>8</v>
      </c>
      <c r="Z299">
        <f t="shared" si="9"/>
        <v>4.375</v>
      </c>
    </row>
    <row r="300" spans="1:26" x14ac:dyDescent="0.25">
      <c r="A300" t="s">
        <v>328</v>
      </c>
      <c r="B300" s="7">
        <v>48</v>
      </c>
      <c r="C300" s="7" t="s">
        <v>24</v>
      </c>
      <c r="D300" s="8" t="s">
        <v>28</v>
      </c>
      <c r="E300" s="2">
        <v>14.2</v>
      </c>
      <c r="F300" s="2">
        <v>18</v>
      </c>
      <c r="G300" s="2">
        <v>49</v>
      </c>
      <c r="H300" s="2">
        <v>38</v>
      </c>
      <c r="I300" s="2">
        <v>31</v>
      </c>
      <c r="J300" s="2">
        <v>30</v>
      </c>
      <c r="K300" s="2">
        <v>30</v>
      </c>
      <c r="L300" s="2">
        <v>89</v>
      </c>
      <c r="M300" s="2">
        <v>0</v>
      </c>
      <c r="N300" s="2">
        <v>0</v>
      </c>
      <c r="O300" s="2">
        <v>1</v>
      </c>
      <c r="P300" s="2">
        <v>0</v>
      </c>
      <c r="Q300" s="2">
        <v>0</v>
      </c>
      <c r="R300" s="2">
        <v>2</v>
      </c>
      <c r="S300" s="2">
        <v>2</v>
      </c>
      <c r="T300" s="2">
        <v>0</v>
      </c>
      <c r="U300" s="2">
        <v>0</v>
      </c>
      <c r="V300" s="2">
        <v>0</v>
      </c>
      <c r="W300" s="2">
        <v>0</v>
      </c>
      <c r="X300" s="2">
        <v>5</v>
      </c>
      <c r="Y300">
        <f t="shared" si="8"/>
        <v>3</v>
      </c>
      <c r="Z300">
        <f t="shared" si="9"/>
        <v>2.3333333333333335</v>
      </c>
    </row>
    <row r="301" spans="1:26" x14ac:dyDescent="0.25">
      <c r="A301" t="s">
        <v>329</v>
      </c>
      <c r="B301" s="7">
        <v>49</v>
      </c>
      <c r="C301" s="7" t="s">
        <v>24</v>
      </c>
      <c r="D301" s="8" t="s">
        <v>28</v>
      </c>
      <c r="E301" s="2">
        <v>21</v>
      </c>
      <c r="F301" s="2">
        <v>29</v>
      </c>
      <c r="G301" s="2"/>
      <c r="H301" s="2"/>
      <c r="I301" s="2"/>
      <c r="J301" s="2"/>
      <c r="K301" s="2">
        <v>33</v>
      </c>
      <c r="L301" s="2">
        <v>313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>
        <f t="shared" si="8"/>
        <v>0</v>
      </c>
      <c r="Z301" t="e">
        <f t="shared" si="9"/>
        <v>#DIV/0!</v>
      </c>
    </row>
    <row r="302" spans="1:26" x14ac:dyDescent="0.25">
      <c r="A302" t="s">
        <v>330</v>
      </c>
      <c r="B302" s="7">
        <v>50</v>
      </c>
      <c r="C302" s="7" t="s">
        <v>24</v>
      </c>
      <c r="D302" s="8" t="s">
        <v>28</v>
      </c>
      <c r="E302" s="2">
        <v>23.3</v>
      </c>
      <c r="F302" s="2">
        <v>42</v>
      </c>
      <c r="G302" s="2">
        <v>22</v>
      </c>
      <c r="H302" s="2">
        <v>99</v>
      </c>
      <c r="I302" s="2">
        <v>53.5</v>
      </c>
      <c r="J302" s="2">
        <v>60</v>
      </c>
      <c r="K302" s="2">
        <v>35</v>
      </c>
      <c r="L302" s="2">
        <v>25124</v>
      </c>
      <c r="M302" s="2">
        <v>0</v>
      </c>
      <c r="N302" s="2">
        <v>2</v>
      </c>
      <c r="O302" s="2">
        <v>8</v>
      </c>
      <c r="P302" s="2">
        <v>0</v>
      </c>
      <c r="Q302" s="2">
        <v>0</v>
      </c>
      <c r="R302" s="2">
        <v>11</v>
      </c>
      <c r="S302" s="2">
        <v>8</v>
      </c>
      <c r="T302" s="2">
        <v>1</v>
      </c>
      <c r="U302" s="2">
        <v>0</v>
      </c>
      <c r="V302" s="2">
        <v>1</v>
      </c>
      <c r="W302" s="2">
        <v>0</v>
      </c>
      <c r="X302" s="2">
        <v>28</v>
      </c>
      <c r="Y302">
        <f t="shared" si="8"/>
        <v>20</v>
      </c>
      <c r="Z302">
        <f t="shared" si="9"/>
        <v>1.95</v>
      </c>
    </row>
    <row r="303" spans="1:26" x14ac:dyDescent="0.25">
      <c r="A303" t="s">
        <v>331</v>
      </c>
      <c r="B303" s="7">
        <v>51</v>
      </c>
      <c r="C303" s="7" t="s">
        <v>24</v>
      </c>
      <c r="D303" s="8" t="s">
        <v>28</v>
      </c>
      <c r="E303" s="2">
        <v>18</v>
      </c>
      <c r="F303" s="2">
        <v>23.5</v>
      </c>
      <c r="G303" s="2"/>
      <c r="H303" s="2"/>
      <c r="I303" s="2"/>
      <c r="J303" s="2"/>
      <c r="K303" s="2">
        <v>43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>
        <f t="shared" si="8"/>
        <v>0</v>
      </c>
      <c r="Z303" t="e">
        <f t="shared" si="9"/>
        <v>#DIV/0!</v>
      </c>
    </row>
    <row r="304" spans="1:26" x14ac:dyDescent="0.25">
      <c r="A304" t="s">
        <v>332</v>
      </c>
      <c r="B304" s="7">
        <v>52</v>
      </c>
      <c r="C304" s="7" t="s">
        <v>24</v>
      </c>
      <c r="D304" s="8" t="s">
        <v>28</v>
      </c>
      <c r="E304" s="2">
        <v>19.5</v>
      </c>
      <c r="F304" s="2">
        <v>24</v>
      </c>
      <c r="G304" s="2">
        <v>82</v>
      </c>
      <c r="H304" s="2">
        <v>23</v>
      </c>
      <c r="I304" s="2">
        <v>50</v>
      </c>
      <c r="J304" s="2">
        <v>51</v>
      </c>
      <c r="K304" s="2">
        <v>30</v>
      </c>
      <c r="L304" s="2"/>
      <c r="M304" s="2">
        <v>0</v>
      </c>
      <c r="N304" s="2">
        <v>0</v>
      </c>
      <c r="O304" s="2">
        <v>4</v>
      </c>
      <c r="P304" s="2">
        <v>0</v>
      </c>
      <c r="Q304" s="2">
        <v>0</v>
      </c>
      <c r="R304" s="2">
        <v>21</v>
      </c>
      <c r="S304" s="2">
        <v>1</v>
      </c>
      <c r="T304" s="2">
        <v>1</v>
      </c>
      <c r="U304" s="2">
        <v>2</v>
      </c>
      <c r="V304" s="2">
        <v>0</v>
      </c>
      <c r="W304" s="2">
        <v>0</v>
      </c>
      <c r="X304" s="2">
        <v>16</v>
      </c>
      <c r="Y304">
        <f t="shared" si="8"/>
        <v>8</v>
      </c>
      <c r="Z304">
        <f t="shared" si="9"/>
        <v>4.625</v>
      </c>
    </row>
    <row r="305" spans="1:26" x14ac:dyDescent="0.25">
      <c r="A305" t="s">
        <v>333</v>
      </c>
      <c r="B305" s="7">
        <v>53</v>
      </c>
      <c r="C305" s="7" t="s">
        <v>24</v>
      </c>
      <c r="D305" s="8" t="s">
        <v>28</v>
      </c>
      <c r="E305" s="2">
        <v>17.5</v>
      </c>
      <c r="F305" s="2"/>
      <c r="G305" s="2">
        <v>69</v>
      </c>
      <c r="H305" s="2"/>
      <c r="I305" s="2">
        <v>44</v>
      </c>
      <c r="J305" s="2"/>
      <c r="K305" s="2">
        <v>29</v>
      </c>
      <c r="L305" s="2"/>
      <c r="M305" s="2">
        <v>1</v>
      </c>
      <c r="N305" s="2">
        <v>0</v>
      </c>
      <c r="O305" s="2">
        <v>2</v>
      </c>
      <c r="P305" s="2">
        <v>0</v>
      </c>
      <c r="Q305" s="2">
        <v>0</v>
      </c>
      <c r="R305" s="2">
        <v>24</v>
      </c>
      <c r="S305" s="2"/>
      <c r="T305" s="2"/>
      <c r="U305" s="2"/>
      <c r="V305" s="2"/>
      <c r="W305" s="2"/>
      <c r="X305" s="2"/>
      <c r="Y305">
        <f t="shared" si="8"/>
        <v>3</v>
      </c>
      <c r="Z305">
        <f t="shared" si="9"/>
        <v>8</v>
      </c>
    </row>
    <row r="306" spans="1:26" x14ac:dyDescent="0.25">
      <c r="A306" t="s">
        <v>334</v>
      </c>
      <c r="B306" s="7">
        <v>54</v>
      </c>
      <c r="C306" s="7" t="s">
        <v>24</v>
      </c>
      <c r="D306" s="8" t="s">
        <v>28</v>
      </c>
      <c r="E306" s="2">
        <v>20.6</v>
      </c>
      <c r="F306" s="2">
        <v>28</v>
      </c>
      <c r="G306" s="2"/>
      <c r="H306" s="2"/>
      <c r="I306" s="2"/>
      <c r="J306" s="2"/>
      <c r="K306" s="2">
        <v>33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>
        <f t="shared" si="8"/>
        <v>0</v>
      </c>
      <c r="Z306" t="e">
        <f t="shared" si="9"/>
        <v>#DIV/0!</v>
      </c>
    </row>
    <row r="307" spans="1:26" x14ac:dyDescent="0.25">
      <c r="A307" t="s">
        <v>335</v>
      </c>
      <c r="B307" s="7">
        <v>55</v>
      </c>
      <c r="C307" s="7" t="s">
        <v>24</v>
      </c>
      <c r="D307" s="8" t="s">
        <v>28</v>
      </c>
      <c r="E307" s="2">
        <v>18.8</v>
      </c>
      <c r="F307" s="2"/>
      <c r="G307" s="2">
        <v>36</v>
      </c>
      <c r="H307" s="2"/>
      <c r="I307" s="2">
        <v>40</v>
      </c>
      <c r="J307" s="2"/>
      <c r="K307" s="2">
        <v>30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>
        <f t="shared" si="8"/>
        <v>0</v>
      </c>
      <c r="Z307" t="e">
        <f t="shared" si="9"/>
        <v>#DIV/0!</v>
      </c>
    </row>
    <row r="308" spans="1:26" x14ac:dyDescent="0.25">
      <c r="A308" t="s">
        <v>336</v>
      </c>
      <c r="B308" s="7">
        <v>56</v>
      </c>
      <c r="C308" s="7" t="s">
        <v>24</v>
      </c>
      <c r="D308" s="8" t="s">
        <v>28</v>
      </c>
      <c r="E308" s="2">
        <v>18.399999999999999</v>
      </c>
      <c r="F308" s="2">
        <v>22.5</v>
      </c>
      <c r="G308" s="2">
        <v>62</v>
      </c>
      <c r="H308" s="2">
        <v>48</v>
      </c>
      <c r="I308" s="2">
        <v>48</v>
      </c>
      <c r="J308" s="2">
        <v>50</v>
      </c>
      <c r="K308" s="2">
        <v>30</v>
      </c>
      <c r="L308" s="2">
        <v>311</v>
      </c>
      <c r="M308" s="2">
        <v>2</v>
      </c>
      <c r="N308" s="2">
        <v>0</v>
      </c>
      <c r="O308" s="2">
        <v>2</v>
      </c>
      <c r="P308" s="2">
        <v>0</v>
      </c>
      <c r="Q308" s="2">
        <v>0</v>
      </c>
      <c r="R308" s="2">
        <v>41</v>
      </c>
      <c r="S308" s="2">
        <v>2</v>
      </c>
      <c r="T308" s="2">
        <v>0</v>
      </c>
      <c r="U308" s="2">
        <v>2</v>
      </c>
      <c r="V308" s="2">
        <v>0</v>
      </c>
      <c r="W308" s="2">
        <v>0</v>
      </c>
      <c r="X308" s="2">
        <v>7</v>
      </c>
      <c r="Y308">
        <f t="shared" si="8"/>
        <v>8</v>
      </c>
      <c r="Z308">
        <f t="shared" si="9"/>
        <v>6</v>
      </c>
    </row>
    <row r="309" spans="1:26" x14ac:dyDescent="0.25">
      <c r="A309" t="s">
        <v>337</v>
      </c>
      <c r="B309" s="7">
        <v>57</v>
      </c>
      <c r="C309" s="7" t="s">
        <v>24</v>
      </c>
      <c r="D309" s="8" t="s">
        <v>28</v>
      </c>
      <c r="E309" s="2">
        <v>20.100000000000001</v>
      </c>
      <c r="F309" s="2">
        <v>25</v>
      </c>
      <c r="G309" s="2">
        <v>40</v>
      </c>
      <c r="H309" s="2">
        <v>35</v>
      </c>
      <c r="I309" s="2">
        <v>40</v>
      </c>
      <c r="J309" s="2">
        <v>44.6</v>
      </c>
      <c r="K309" s="2">
        <v>30</v>
      </c>
      <c r="L309" s="2"/>
      <c r="M309" s="2">
        <v>0</v>
      </c>
      <c r="N309" s="2">
        <v>1</v>
      </c>
      <c r="O309" s="2">
        <v>0</v>
      </c>
      <c r="P309" s="2">
        <v>0</v>
      </c>
      <c r="Q309" s="2">
        <v>0</v>
      </c>
      <c r="R309" s="2">
        <v>6</v>
      </c>
      <c r="S309" s="2">
        <v>3</v>
      </c>
      <c r="T309" s="2">
        <v>1</v>
      </c>
      <c r="U309" s="2">
        <v>0</v>
      </c>
      <c r="V309" s="2">
        <v>0</v>
      </c>
      <c r="W309" s="2">
        <v>0</v>
      </c>
      <c r="X309" s="2">
        <v>13</v>
      </c>
      <c r="Y309">
        <f t="shared" si="8"/>
        <v>5</v>
      </c>
      <c r="Z309">
        <f t="shared" si="9"/>
        <v>3.8</v>
      </c>
    </row>
    <row r="310" spans="1:26" x14ac:dyDescent="0.25">
      <c r="A310" t="s">
        <v>338</v>
      </c>
      <c r="B310" s="7">
        <v>58</v>
      </c>
      <c r="C310" s="7" t="s">
        <v>24</v>
      </c>
      <c r="D310" s="8" t="s">
        <v>28</v>
      </c>
      <c r="E310" s="2">
        <v>18.5</v>
      </c>
      <c r="F310" s="2"/>
      <c r="G310" s="2">
        <v>38</v>
      </c>
      <c r="H310" s="2"/>
      <c r="I310" s="2">
        <v>45</v>
      </c>
      <c r="J310" s="2"/>
      <c r="K310" s="2">
        <v>30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>
        <f t="shared" si="8"/>
        <v>0</v>
      </c>
      <c r="Z310" t="e">
        <f t="shared" si="9"/>
        <v>#DIV/0!</v>
      </c>
    </row>
    <row r="311" spans="1:26" x14ac:dyDescent="0.25">
      <c r="A311" t="s">
        <v>339</v>
      </c>
      <c r="B311" s="7">
        <v>59</v>
      </c>
      <c r="C311" s="7" t="s">
        <v>24</v>
      </c>
      <c r="D311" s="8" t="s">
        <v>28</v>
      </c>
      <c r="E311" s="2">
        <v>19</v>
      </c>
      <c r="F311" s="2">
        <v>20</v>
      </c>
      <c r="G311" s="2">
        <v>80</v>
      </c>
      <c r="H311" s="2">
        <v>40</v>
      </c>
      <c r="I311" s="2">
        <v>53</v>
      </c>
      <c r="J311" s="2">
        <v>51</v>
      </c>
      <c r="K311" s="2">
        <v>31</v>
      </c>
      <c r="L311" s="2"/>
      <c r="M311" s="2">
        <v>1</v>
      </c>
      <c r="N311" s="2">
        <v>0</v>
      </c>
      <c r="O311" s="2">
        <v>5</v>
      </c>
      <c r="P311" s="2">
        <v>0</v>
      </c>
      <c r="Q311" s="2">
        <v>0</v>
      </c>
      <c r="R311" s="2">
        <v>32</v>
      </c>
      <c r="S311" s="2">
        <v>2</v>
      </c>
      <c r="T311" s="2">
        <v>0</v>
      </c>
      <c r="U311" s="2">
        <v>0</v>
      </c>
      <c r="V311" s="2">
        <v>0</v>
      </c>
      <c r="W311" s="2">
        <v>0</v>
      </c>
      <c r="X311" s="2">
        <v>3</v>
      </c>
      <c r="Y311">
        <f t="shared" si="8"/>
        <v>8</v>
      </c>
      <c r="Z311">
        <f t="shared" si="9"/>
        <v>4.375</v>
      </c>
    </row>
    <row r="312" spans="1:26" x14ac:dyDescent="0.25">
      <c r="A312" t="s">
        <v>340</v>
      </c>
      <c r="B312" s="7">
        <v>60</v>
      </c>
      <c r="C312" s="7" t="s">
        <v>24</v>
      </c>
      <c r="D312" s="8" t="s">
        <v>28</v>
      </c>
      <c r="E312" s="2">
        <v>14.5</v>
      </c>
      <c r="F312" s="2">
        <v>18</v>
      </c>
      <c r="G312" s="2">
        <v>70</v>
      </c>
      <c r="H312" s="2">
        <v>123</v>
      </c>
      <c r="I312" s="2">
        <v>49</v>
      </c>
      <c r="J312" s="2">
        <v>57</v>
      </c>
      <c r="K312" s="2">
        <v>28</v>
      </c>
      <c r="L312" s="2">
        <v>2265</v>
      </c>
      <c r="M312" s="2">
        <v>0</v>
      </c>
      <c r="N312" s="2">
        <v>0</v>
      </c>
      <c r="O312" s="2">
        <v>1</v>
      </c>
      <c r="P312" s="2">
        <v>2</v>
      </c>
      <c r="Q312" s="2">
        <v>0</v>
      </c>
      <c r="R312" s="2">
        <v>13</v>
      </c>
      <c r="S312" s="2">
        <v>2</v>
      </c>
      <c r="T312" s="2">
        <v>1</v>
      </c>
      <c r="U312" s="2">
        <v>1</v>
      </c>
      <c r="V312" s="2">
        <v>0</v>
      </c>
      <c r="W312" s="2">
        <v>0</v>
      </c>
      <c r="X312" s="2">
        <v>12</v>
      </c>
      <c r="Y312">
        <f t="shared" si="8"/>
        <v>7</v>
      </c>
      <c r="Z312">
        <f t="shared" si="9"/>
        <v>3.5714285714285716</v>
      </c>
    </row>
    <row r="313" spans="1:26" x14ac:dyDescent="0.25">
      <c r="A313" t="s">
        <v>341</v>
      </c>
      <c r="B313" s="7">
        <v>61</v>
      </c>
      <c r="C313" s="7" t="s">
        <v>24</v>
      </c>
      <c r="D313" s="8" t="s">
        <v>28</v>
      </c>
      <c r="E313" s="2">
        <v>18.2</v>
      </c>
      <c r="F313" s="2">
        <v>22</v>
      </c>
      <c r="G313" s="2"/>
      <c r="H313" s="2"/>
      <c r="I313" s="2"/>
      <c r="J313" s="2"/>
      <c r="K313" s="2">
        <v>30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>
        <f t="shared" si="8"/>
        <v>0</v>
      </c>
      <c r="Z313" t="e">
        <f t="shared" si="9"/>
        <v>#DIV/0!</v>
      </c>
    </row>
    <row r="314" spans="1:26" x14ac:dyDescent="0.25">
      <c r="A314" t="s">
        <v>342</v>
      </c>
      <c r="B314" s="7">
        <v>62</v>
      </c>
      <c r="C314" s="7" t="s">
        <v>24</v>
      </c>
      <c r="D314" s="8" t="s">
        <v>28</v>
      </c>
      <c r="E314" s="2">
        <v>20.2</v>
      </c>
      <c r="F314" s="2">
        <v>19</v>
      </c>
      <c r="G314" s="2"/>
      <c r="H314" s="2">
        <v>10</v>
      </c>
      <c r="I314" s="2"/>
      <c r="J314" s="2">
        <v>51</v>
      </c>
      <c r="K314" s="2">
        <v>33</v>
      </c>
      <c r="L314" s="2"/>
      <c r="M314" s="2"/>
      <c r="N314" s="2"/>
      <c r="O314" s="2"/>
      <c r="P314" s="2"/>
      <c r="Q314" s="2"/>
      <c r="R314" s="2"/>
      <c r="S314" s="2">
        <v>2</v>
      </c>
      <c r="T314" s="2">
        <v>0</v>
      </c>
      <c r="U314" s="2">
        <v>1</v>
      </c>
      <c r="V314" s="2">
        <v>0</v>
      </c>
      <c r="W314" s="2">
        <v>0</v>
      </c>
      <c r="X314" s="2">
        <v>22</v>
      </c>
      <c r="Y314">
        <f t="shared" si="8"/>
        <v>3</v>
      </c>
      <c r="Z314">
        <f t="shared" si="9"/>
        <v>7.333333333333333</v>
      </c>
    </row>
    <row r="315" spans="1:26" x14ac:dyDescent="0.25">
      <c r="A315" t="s">
        <v>343</v>
      </c>
      <c r="B315" s="7">
        <v>63</v>
      </c>
      <c r="C315" s="7" t="s">
        <v>24</v>
      </c>
      <c r="D315" s="8" t="s">
        <v>28</v>
      </c>
      <c r="E315" s="2">
        <v>16.5</v>
      </c>
      <c r="F315" s="2">
        <v>20</v>
      </c>
      <c r="G315" s="2">
        <v>38</v>
      </c>
      <c r="H315" s="2">
        <v>102</v>
      </c>
      <c r="I315" s="2">
        <v>44.3</v>
      </c>
      <c r="J315" s="2">
        <v>57.5</v>
      </c>
      <c r="K315" s="2">
        <v>42</v>
      </c>
      <c r="L315" s="2"/>
      <c r="M315" s="2">
        <v>0</v>
      </c>
      <c r="N315" s="2">
        <v>1</v>
      </c>
      <c r="O315" s="2">
        <v>2</v>
      </c>
      <c r="P315" s="2">
        <v>0</v>
      </c>
      <c r="Q315" s="2">
        <v>0</v>
      </c>
      <c r="R315" s="2">
        <v>14</v>
      </c>
      <c r="S315" s="2">
        <v>1</v>
      </c>
      <c r="T315" s="2">
        <v>0</v>
      </c>
      <c r="U315" s="2">
        <v>1</v>
      </c>
      <c r="V315" s="2">
        <v>0</v>
      </c>
      <c r="W315" s="2">
        <v>0</v>
      </c>
      <c r="X315" s="2">
        <v>16</v>
      </c>
      <c r="Y315">
        <f t="shared" si="8"/>
        <v>5</v>
      </c>
      <c r="Z315">
        <f t="shared" si="9"/>
        <v>6</v>
      </c>
    </row>
    <row r="316" spans="1:26" x14ac:dyDescent="0.25">
      <c r="A316" t="s">
        <v>344</v>
      </c>
      <c r="B316" s="7">
        <v>64</v>
      </c>
      <c r="C316" s="7" t="s">
        <v>24</v>
      </c>
      <c r="D316" s="8" t="s">
        <v>28</v>
      </c>
      <c r="E316" s="2">
        <v>17.5</v>
      </c>
      <c r="F316" s="2"/>
      <c r="G316" s="2"/>
      <c r="H316" s="2"/>
      <c r="I316" s="2"/>
      <c r="J316" s="2"/>
      <c r="K316" s="2">
        <v>30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>
        <f t="shared" si="8"/>
        <v>0</v>
      </c>
      <c r="Z316" t="e">
        <f t="shared" si="9"/>
        <v>#DIV/0!</v>
      </c>
    </row>
    <row r="317" spans="1:26" x14ac:dyDescent="0.25">
      <c r="A317" t="s">
        <v>345</v>
      </c>
      <c r="B317" s="7">
        <v>41</v>
      </c>
      <c r="C317" s="7" t="s">
        <v>25</v>
      </c>
      <c r="D317" s="8" t="s">
        <v>28</v>
      </c>
      <c r="E317" s="2">
        <v>18.600000000000001</v>
      </c>
      <c r="F317" s="2">
        <v>17</v>
      </c>
      <c r="G317" s="2">
        <v>29</v>
      </c>
      <c r="H317" s="2">
        <v>28</v>
      </c>
      <c r="I317" s="2">
        <v>35</v>
      </c>
      <c r="J317" s="2">
        <v>36</v>
      </c>
      <c r="K317" s="2">
        <v>29</v>
      </c>
      <c r="L317" s="2">
        <v>54</v>
      </c>
      <c r="M317" s="2"/>
      <c r="N317" s="2"/>
      <c r="O317" s="2"/>
      <c r="P317" s="2"/>
      <c r="Q317" s="2"/>
      <c r="R317" s="2"/>
      <c r="S317" s="2">
        <v>2</v>
      </c>
      <c r="T317" s="2">
        <v>0</v>
      </c>
      <c r="U317" s="2">
        <v>0</v>
      </c>
      <c r="V317" s="2">
        <v>0</v>
      </c>
      <c r="W317" s="2">
        <v>0</v>
      </c>
      <c r="X317" s="2">
        <v>5</v>
      </c>
      <c r="Y317">
        <f t="shared" si="8"/>
        <v>2</v>
      </c>
      <c r="Z317">
        <f t="shared" si="9"/>
        <v>2.5</v>
      </c>
    </row>
    <row r="318" spans="1:26" x14ac:dyDescent="0.25">
      <c r="A318" t="s">
        <v>346</v>
      </c>
      <c r="B318" s="7">
        <v>42</v>
      </c>
      <c r="C318" s="7" t="s">
        <v>25</v>
      </c>
      <c r="D318" s="8" t="s">
        <v>28</v>
      </c>
      <c r="E318" s="2">
        <v>19.100000000000001</v>
      </c>
      <c r="F318" s="2">
        <v>19</v>
      </c>
      <c r="G318" s="2">
        <v>19</v>
      </c>
      <c r="H318" s="2"/>
      <c r="I318" s="2">
        <v>41.9</v>
      </c>
      <c r="J318" s="2"/>
      <c r="K318" s="2">
        <v>35</v>
      </c>
      <c r="L318" s="2"/>
      <c r="M318" s="2">
        <v>3</v>
      </c>
      <c r="N318" s="2">
        <v>0</v>
      </c>
      <c r="O318" s="2">
        <v>1</v>
      </c>
      <c r="P318" s="2">
        <v>0</v>
      </c>
      <c r="Q318" s="2">
        <v>0</v>
      </c>
      <c r="R318" s="2">
        <v>9</v>
      </c>
      <c r="S318" s="2"/>
      <c r="T318" s="2"/>
      <c r="U318" s="2"/>
      <c r="V318" s="2"/>
      <c r="W318" s="2"/>
      <c r="X318" s="2"/>
      <c r="Y318">
        <f t="shared" si="8"/>
        <v>4</v>
      </c>
      <c r="Z318">
        <f t="shared" si="9"/>
        <v>2.25</v>
      </c>
    </row>
    <row r="319" spans="1:26" x14ac:dyDescent="0.25">
      <c r="A319" t="s">
        <v>347</v>
      </c>
      <c r="B319" s="7">
        <v>43</v>
      </c>
      <c r="C319" s="7" t="s">
        <v>25</v>
      </c>
      <c r="D319" s="8" t="s">
        <v>28</v>
      </c>
      <c r="E319" s="2">
        <v>20.7</v>
      </c>
      <c r="F319" s="2"/>
      <c r="G319" s="2">
        <v>50</v>
      </c>
      <c r="H319" s="2"/>
      <c r="I319" s="2">
        <v>36</v>
      </c>
      <c r="J319" s="2"/>
      <c r="K319" s="2">
        <v>27</v>
      </c>
      <c r="L319" s="2">
        <v>78</v>
      </c>
      <c r="M319" s="2">
        <v>0</v>
      </c>
      <c r="N319" s="2">
        <v>1</v>
      </c>
      <c r="O319" s="2">
        <v>0</v>
      </c>
      <c r="P319" s="2">
        <v>0</v>
      </c>
      <c r="Q319" s="2">
        <v>0</v>
      </c>
      <c r="R319" s="2">
        <v>2</v>
      </c>
      <c r="S319" s="2"/>
      <c r="T319" s="2"/>
      <c r="U319" s="2"/>
      <c r="V319" s="2"/>
      <c r="W319" s="2"/>
      <c r="X319" s="2"/>
      <c r="Y319">
        <f t="shared" si="8"/>
        <v>1</v>
      </c>
      <c r="Z319">
        <f t="shared" si="9"/>
        <v>2</v>
      </c>
    </row>
    <row r="320" spans="1:26" x14ac:dyDescent="0.25">
      <c r="A320" t="s">
        <v>348</v>
      </c>
      <c r="B320" s="7">
        <v>44</v>
      </c>
      <c r="C320" s="7" t="s">
        <v>25</v>
      </c>
      <c r="D320" s="8" t="s">
        <v>28</v>
      </c>
      <c r="E320" s="2">
        <v>16.5</v>
      </c>
      <c r="F320" s="2">
        <v>22</v>
      </c>
      <c r="G320" s="2"/>
      <c r="H320" s="2">
        <v>34</v>
      </c>
      <c r="I320" s="2"/>
      <c r="J320" s="2">
        <v>38</v>
      </c>
      <c r="K320" s="2">
        <v>30</v>
      </c>
      <c r="L320" s="2">
        <v>1250</v>
      </c>
      <c r="M320" s="2"/>
      <c r="N320" s="2"/>
      <c r="O320" s="2"/>
      <c r="P320" s="2"/>
      <c r="Q320" s="2"/>
      <c r="R320" s="2"/>
      <c r="S320" s="2">
        <v>0</v>
      </c>
      <c r="T320" s="2">
        <v>2</v>
      </c>
      <c r="U320" s="2">
        <v>1</v>
      </c>
      <c r="V320" s="2">
        <v>0</v>
      </c>
      <c r="W320" s="2">
        <v>0</v>
      </c>
      <c r="X320" s="2">
        <v>9</v>
      </c>
      <c r="Y320">
        <f t="shared" si="8"/>
        <v>3</v>
      </c>
      <c r="Z320">
        <f t="shared" si="9"/>
        <v>3</v>
      </c>
    </row>
    <row r="321" spans="1:26" x14ac:dyDescent="0.25">
      <c r="A321" t="s">
        <v>349</v>
      </c>
      <c r="B321" s="7">
        <v>45</v>
      </c>
      <c r="C321" s="7" t="s">
        <v>25</v>
      </c>
      <c r="D321" s="8" t="s">
        <v>28</v>
      </c>
      <c r="E321" s="2">
        <v>21.2</v>
      </c>
      <c r="F321" s="2">
        <v>25</v>
      </c>
      <c r="G321" s="2">
        <v>73</v>
      </c>
      <c r="H321" s="2">
        <v>17</v>
      </c>
      <c r="I321" s="2">
        <v>39</v>
      </c>
      <c r="J321" s="2">
        <v>40.200000000000003</v>
      </c>
      <c r="K321" s="2">
        <v>31</v>
      </c>
      <c r="L321" s="2">
        <v>543</v>
      </c>
      <c r="M321" s="2">
        <v>5</v>
      </c>
      <c r="N321" s="2">
        <v>0</v>
      </c>
      <c r="O321" s="2">
        <v>1</v>
      </c>
      <c r="P321" s="2">
        <v>0</v>
      </c>
      <c r="Q321" s="2">
        <v>0</v>
      </c>
      <c r="R321" s="2">
        <v>20</v>
      </c>
      <c r="S321" s="2">
        <v>0</v>
      </c>
      <c r="T321" s="2">
        <v>1</v>
      </c>
      <c r="U321" s="2">
        <v>1</v>
      </c>
      <c r="V321" s="2">
        <v>0</v>
      </c>
      <c r="W321" s="2">
        <v>0</v>
      </c>
      <c r="X321" s="2">
        <v>4</v>
      </c>
      <c r="Y321">
        <f t="shared" si="8"/>
        <v>8</v>
      </c>
      <c r="Z321">
        <f t="shared" si="9"/>
        <v>3</v>
      </c>
    </row>
    <row r="322" spans="1:26" x14ac:dyDescent="0.25">
      <c r="A322" t="s">
        <v>350</v>
      </c>
      <c r="B322" s="7">
        <v>46</v>
      </c>
      <c r="C322" s="7" t="s">
        <v>25</v>
      </c>
      <c r="D322" s="8" t="s">
        <v>28</v>
      </c>
      <c r="E322" s="2">
        <v>19.8</v>
      </c>
      <c r="F322" s="2"/>
      <c r="G322" s="2">
        <v>25</v>
      </c>
      <c r="H322" s="2"/>
      <c r="I322" s="2">
        <v>36</v>
      </c>
      <c r="J322" s="2"/>
      <c r="K322" s="2">
        <v>29</v>
      </c>
      <c r="L322" s="2"/>
      <c r="M322" s="2">
        <v>1</v>
      </c>
      <c r="N322" s="2">
        <v>0</v>
      </c>
      <c r="O322" s="2">
        <v>0</v>
      </c>
      <c r="P322" s="2">
        <v>0</v>
      </c>
      <c r="Q322" s="2">
        <v>0</v>
      </c>
      <c r="R322" s="2">
        <v>2</v>
      </c>
      <c r="S322" s="2"/>
      <c r="T322" s="2"/>
      <c r="U322" s="2"/>
      <c r="V322" s="2"/>
      <c r="W322" s="2"/>
      <c r="X322" s="2"/>
      <c r="Y322">
        <f t="shared" si="8"/>
        <v>1</v>
      </c>
      <c r="Z322">
        <f t="shared" si="9"/>
        <v>2</v>
      </c>
    </row>
    <row r="323" spans="1:26" x14ac:dyDescent="0.25">
      <c r="A323" t="s">
        <v>351</v>
      </c>
      <c r="B323" s="7">
        <v>47</v>
      </c>
      <c r="C323" s="7" t="s">
        <v>25</v>
      </c>
      <c r="D323" s="8" t="s">
        <v>28</v>
      </c>
      <c r="E323" s="2">
        <v>19</v>
      </c>
      <c r="F323" s="2">
        <v>24</v>
      </c>
      <c r="G323" s="2">
        <v>34</v>
      </c>
      <c r="H323" s="2">
        <v>25</v>
      </c>
      <c r="I323" s="2">
        <v>48</v>
      </c>
      <c r="J323" s="2">
        <v>46</v>
      </c>
      <c r="K323" s="2">
        <v>31</v>
      </c>
      <c r="L323" s="2"/>
      <c r="M323" s="2">
        <v>1</v>
      </c>
      <c r="N323" s="2">
        <v>0</v>
      </c>
      <c r="O323" s="2">
        <v>0</v>
      </c>
      <c r="P323" s="2">
        <v>0</v>
      </c>
      <c r="Q323" s="2">
        <v>0</v>
      </c>
      <c r="R323" s="2">
        <v>3</v>
      </c>
      <c r="S323" s="2">
        <v>2</v>
      </c>
      <c r="T323" s="2">
        <v>0</v>
      </c>
      <c r="U323" s="2">
        <v>1</v>
      </c>
      <c r="V323" s="2">
        <v>0</v>
      </c>
      <c r="W323" s="2">
        <v>0</v>
      </c>
      <c r="X323" s="2">
        <v>5</v>
      </c>
      <c r="Y323">
        <f t="shared" ref="Y323:Y386" si="10">SUM(M323:Q323,S323:W323)</f>
        <v>4</v>
      </c>
      <c r="Z323">
        <f t="shared" ref="Z323:Z386" si="11">(R323+X323) / (SUM(M323:Q323) + (SUM(S323:W323)))</f>
        <v>2</v>
      </c>
    </row>
    <row r="324" spans="1:26" x14ac:dyDescent="0.25">
      <c r="A324" t="s">
        <v>352</v>
      </c>
      <c r="B324" s="7">
        <v>48</v>
      </c>
      <c r="C324" s="7" t="s">
        <v>25</v>
      </c>
      <c r="D324" s="8" t="s">
        <v>28</v>
      </c>
      <c r="E324" s="2">
        <v>22.5</v>
      </c>
      <c r="F324" s="2">
        <v>29</v>
      </c>
      <c r="G324" s="2">
        <v>37</v>
      </c>
      <c r="H324" s="2">
        <v>150</v>
      </c>
      <c r="I324" s="2">
        <v>66</v>
      </c>
      <c r="J324" s="2">
        <v>75</v>
      </c>
      <c r="K324" s="2">
        <v>35</v>
      </c>
      <c r="L324" s="2">
        <v>321</v>
      </c>
      <c r="M324" s="2">
        <v>2</v>
      </c>
      <c r="N324" s="2">
        <v>6</v>
      </c>
      <c r="O324" s="2">
        <v>0</v>
      </c>
      <c r="P324" s="2">
        <v>0</v>
      </c>
      <c r="Q324" s="2">
        <v>0</v>
      </c>
      <c r="R324" s="2">
        <v>9</v>
      </c>
      <c r="S324" s="2">
        <v>5</v>
      </c>
      <c r="T324" s="2">
        <v>0</v>
      </c>
      <c r="U324" s="2">
        <v>2</v>
      </c>
      <c r="V324" s="2">
        <v>1</v>
      </c>
      <c r="W324" s="2">
        <v>0</v>
      </c>
      <c r="X324" s="2">
        <v>68</v>
      </c>
      <c r="Y324">
        <f t="shared" si="10"/>
        <v>16</v>
      </c>
      <c r="Z324">
        <f t="shared" si="11"/>
        <v>4.8125</v>
      </c>
    </row>
    <row r="325" spans="1:26" x14ac:dyDescent="0.25">
      <c r="A325" t="s">
        <v>353</v>
      </c>
      <c r="B325" s="7">
        <v>49</v>
      </c>
      <c r="C325" s="7" t="s">
        <v>25</v>
      </c>
      <c r="D325" s="8" t="s">
        <v>28</v>
      </c>
      <c r="E325" s="2">
        <v>17.5</v>
      </c>
      <c r="F325" s="2"/>
      <c r="G325" s="2"/>
      <c r="H325" s="2"/>
      <c r="I325" s="2"/>
      <c r="J325" s="2"/>
      <c r="K325" s="2">
        <v>30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>
        <f t="shared" si="10"/>
        <v>0</v>
      </c>
      <c r="Z325" t="e">
        <f t="shared" si="11"/>
        <v>#DIV/0!</v>
      </c>
    </row>
    <row r="326" spans="1:26" x14ac:dyDescent="0.25">
      <c r="A326" t="s">
        <v>354</v>
      </c>
      <c r="B326" s="7">
        <v>50</v>
      </c>
      <c r="C326" s="7" t="s">
        <v>25</v>
      </c>
      <c r="D326" s="8" t="s">
        <v>28</v>
      </c>
      <c r="E326" s="2">
        <v>14</v>
      </c>
      <c r="F326" s="2"/>
      <c r="G326" s="2">
        <v>21</v>
      </c>
      <c r="H326" s="2"/>
      <c r="I326" s="2">
        <v>34</v>
      </c>
      <c r="J326" s="2"/>
      <c r="K326" s="2">
        <v>29</v>
      </c>
      <c r="L326" s="2"/>
      <c r="M326" s="2">
        <v>0</v>
      </c>
      <c r="N326" s="2">
        <v>1</v>
      </c>
      <c r="O326" s="2">
        <v>1</v>
      </c>
      <c r="P326" s="2">
        <v>0</v>
      </c>
      <c r="Q326" s="2">
        <v>0</v>
      </c>
      <c r="R326" s="2">
        <v>5</v>
      </c>
      <c r="S326" s="2"/>
      <c r="T326" s="2"/>
      <c r="U326" s="2"/>
      <c r="V326" s="2"/>
      <c r="W326" s="2"/>
      <c r="X326" s="2"/>
      <c r="Y326">
        <f t="shared" si="10"/>
        <v>2</v>
      </c>
      <c r="Z326">
        <f t="shared" si="11"/>
        <v>2.5</v>
      </c>
    </row>
    <row r="327" spans="1:26" x14ac:dyDescent="0.25">
      <c r="A327" t="s">
        <v>355</v>
      </c>
      <c r="B327" s="7">
        <v>51</v>
      </c>
      <c r="C327" s="7" t="s">
        <v>25</v>
      </c>
      <c r="D327" s="8" t="s">
        <v>28</v>
      </c>
      <c r="E327" s="2">
        <v>20</v>
      </c>
      <c r="F327" s="2"/>
      <c r="G327" s="2"/>
      <c r="H327" s="2"/>
      <c r="I327" s="2"/>
      <c r="J327" s="2"/>
      <c r="K327" s="2">
        <v>33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>
        <f t="shared" si="10"/>
        <v>0</v>
      </c>
      <c r="Z327" t="e">
        <f t="shared" si="11"/>
        <v>#DIV/0!</v>
      </c>
    </row>
    <row r="328" spans="1:26" x14ac:dyDescent="0.25">
      <c r="A328" t="s">
        <v>356</v>
      </c>
      <c r="B328" s="7">
        <v>52</v>
      </c>
      <c r="C328" s="7" t="s">
        <v>25</v>
      </c>
      <c r="D328" s="8" t="s">
        <v>28</v>
      </c>
      <c r="E328" s="2">
        <v>16.600000000000001</v>
      </c>
      <c r="F328" s="2">
        <v>14</v>
      </c>
      <c r="G328" s="2">
        <v>20</v>
      </c>
      <c r="H328" s="2">
        <v>3</v>
      </c>
      <c r="I328" s="2">
        <v>28</v>
      </c>
      <c r="J328" s="2">
        <v>28.3</v>
      </c>
      <c r="K328" s="2">
        <v>31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>
        <f t="shared" si="10"/>
        <v>0</v>
      </c>
      <c r="Z328" t="e">
        <f t="shared" si="11"/>
        <v>#DIV/0!</v>
      </c>
    </row>
    <row r="329" spans="1:26" x14ac:dyDescent="0.25">
      <c r="A329" t="s">
        <v>357</v>
      </c>
      <c r="B329" s="7">
        <v>53</v>
      </c>
      <c r="C329" s="7" t="s">
        <v>25</v>
      </c>
      <c r="D329" s="8" t="s">
        <v>28</v>
      </c>
      <c r="E329" s="2">
        <v>21.7</v>
      </c>
      <c r="F329" s="2">
        <v>23</v>
      </c>
      <c r="G329" s="2"/>
      <c r="H329" s="2"/>
      <c r="I329" s="2"/>
      <c r="J329" s="2"/>
      <c r="K329" s="2">
        <v>41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>
        <f t="shared" si="10"/>
        <v>0</v>
      </c>
      <c r="Z329" t="e">
        <f t="shared" si="11"/>
        <v>#DIV/0!</v>
      </c>
    </row>
    <row r="330" spans="1:26" x14ac:dyDescent="0.25">
      <c r="A330" t="s">
        <v>358</v>
      </c>
      <c r="B330" s="7">
        <v>54</v>
      </c>
      <c r="C330" s="7" t="s">
        <v>25</v>
      </c>
      <c r="D330" s="8" t="s">
        <v>28</v>
      </c>
      <c r="E330" s="2">
        <v>19.3</v>
      </c>
      <c r="F330" s="2">
        <v>24.5</v>
      </c>
      <c r="G330" s="2">
        <v>18</v>
      </c>
      <c r="H330" s="2">
        <v>21</v>
      </c>
      <c r="I330" s="2">
        <v>41</v>
      </c>
      <c r="J330" s="2">
        <v>45</v>
      </c>
      <c r="K330" s="2">
        <v>31</v>
      </c>
      <c r="L330" s="2">
        <v>1195</v>
      </c>
      <c r="M330" s="2"/>
      <c r="N330" s="2"/>
      <c r="O330" s="2"/>
      <c r="P330" s="2"/>
      <c r="Q330" s="2"/>
      <c r="R330" s="2"/>
      <c r="S330" s="2">
        <v>3</v>
      </c>
      <c r="T330" s="2">
        <v>0</v>
      </c>
      <c r="U330" s="2">
        <v>0</v>
      </c>
      <c r="V330" s="2">
        <v>1</v>
      </c>
      <c r="W330" s="2">
        <v>0</v>
      </c>
      <c r="X330" s="2">
        <v>10</v>
      </c>
      <c r="Y330">
        <f t="shared" si="10"/>
        <v>4</v>
      </c>
      <c r="Z330">
        <f t="shared" si="11"/>
        <v>2.5</v>
      </c>
    </row>
    <row r="331" spans="1:26" x14ac:dyDescent="0.25">
      <c r="A331" t="s">
        <v>359</v>
      </c>
      <c r="B331" s="7">
        <v>55</v>
      </c>
      <c r="C331" s="7" t="s">
        <v>25</v>
      </c>
      <c r="D331" s="8" t="s">
        <v>28</v>
      </c>
      <c r="E331" s="2">
        <v>16.600000000000001</v>
      </c>
      <c r="F331" s="2">
        <v>17.5</v>
      </c>
      <c r="G331" s="2">
        <v>43</v>
      </c>
      <c r="H331" s="2">
        <v>4</v>
      </c>
      <c r="I331" s="2">
        <v>36</v>
      </c>
      <c r="J331" s="2">
        <v>38.299999999999997</v>
      </c>
      <c r="K331" s="2">
        <v>31</v>
      </c>
      <c r="L331" s="2"/>
      <c r="M331" s="2">
        <v>1</v>
      </c>
      <c r="N331" s="2">
        <v>1</v>
      </c>
      <c r="O331" s="2">
        <v>0</v>
      </c>
      <c r="P331" s="2">
        <v>0</v>
      </c>
      <c r="Q331" s="2">
        <v>0</v>
      </c>
      <c r="R331" s="2">
        <v>22</v>
      </c>
      <c r="S331" s="2">
        <v>0</v>
      </c>
      <c r="T331" s="2">
        <v>0</v>
      </c>
      <c r="U331" s="2">
        <v>2</v>
      </c>
      <c r="V331" s="2">
        <v>0</v>
      </c>
      <c r="W331" s="2">
        <v>0</v>
      </c>
      <c r="X331" s="2">
        <v>4</v>
      </c>
      <c r="Y331">
        <f t="shared" si="10"/>
        <v>4</v>
      </c>
      <c r="Z331">
        <f t="shared" si="11"/>
        <v>6.5</v>
      </c>
    </row>
    <row r="332" spans="1:26" x14ac:dyDescent="0.25">
      <c r="A332" t="s">
        <v>360</v>
      </c>
      <c r="B332" s="7">
        <v>56</v>
      </c>
      <c r="C332" s="7" t="s">
        <v>25</v>
      </c>
      <c r="D332" s="8" t="s">
        <v>28</v>
      </c>
      <c r="E332" s="2">
        <v>17</v>
      </c>
      <c r="F332" s="2">
        <v>28</v>
      </c>
      <c r="G332" s="2">
        <v>19</v>
      </c>
      <c r="H332" s="2">
        <v>62</v>
      </c>
      <c r="I332" s="2">
        <v>53.5</v>
      </c>
      <c r="J332" s="2">
        <v>65</v>
      </c>
      <c r="K332" s="2">
        <v>35</v>
      </c>
      <c r="L332" s="2">
        <v>648</v>
      </c>
      <c r="M332" s="2">
        <v>0</v>
      </c>
      <c r="N332" s="2">
        <v>0</v>
      </c>
      <c r="O332" s="2">
        <v>2</v>
      </c>
      <c r="P332" s="2">
        <v>0</v>
      </c>
      <c r="Q332" s="2">
        <v>0</v>
      </c>
      <c r="R332" s="2">
        <v>10</v>
      </c>
      <c r="S332" s="2">
        <v>3</v>
      </c>
      <c r="T332" s="2">
        <v>0</v>
      </c>
      <c r="U332" s="2">
        <v>1</v>
      </c>
      <c r="V332" s="2">
        <v>0</v>
      </c>
      <c r="W332" s="2">
        <v>0</v>
      </c>
      <c r="X332" s="2">
        <v>17</v>
      </c>
      <c r="Y332">
        <f t="shared" si="10"/>
        <v>6</v>
      </c>
      <c r="Z332">
        <f t="shared" si="11"/>
        <v>4.5</v>
      </c>
    </row>
    <row r="333" spans="1:26" x14ac:dyDescent="0.25">
      <c r="A333" t="s">
        <v>361</v>
      </c>
      <c r="B333" s="7">
        <v>57</v>
      </c>
      <c r="C333" s="7" t="s">
        <v>25</v>
      </c>
      <c r="D333" s="8" t="s">
        <v>28</v>
      </c>
      <c r="E333" s="2">
        <v>16</v>
      </c>
      <c r="F333" s="2"/>
      <c r="G333" s="2">
        <v>24</v>
      </c>
      <c r="H333" s="2"/>
      <c r="I333" s="2">
        <v>42</v>
      </c>
      <c r="J333" s="2"/>
      <c r="K333" s="2">
        <v>30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>
        <f t="shared" si="10"/>
        <v>0</v>
      </c>
      <c r="Z333" t="e">
        <f t="shared" si="11"/>
        <v>#DIV/0!</v>
      </c>
    </row>
    <row r="334" spans="1:26" x14ac:dyDescent="0.25">
      <c r="A334" t="s">
        <v>362</v>
      </c>
      <c r="B334" s="7">
        <v>58</v>
      </c>
      <c r="C334" s="7" t="s">
        <v>25</v>
      </c>
      <c r="D334" s="8" t="s">
        <v>28</v>
      </c>
      <c r="E334" s="2">
        <v>21</v>
      </c>
      <c r="F334" s="2">
        <v>17</v>
      </c>
      <c r="G334" s="2">
        <v>66</v>
      </c>
      <c r="H334" s="2">
        <v>37</v>
      </c>
      <c r="I334" s="2">
        <v>57</v>
      </c>
      <c r="J334" s="2">
        <v>57</v>
      </c>
      <c r="K334" s="2">
        <v>30</v>
      </c>
      <c r="L334" s="2">
        <v>294</v>
      </c>
      <c r="M334" s="2">
        <v>2</v>
      </c>
      <c r="N334" s="2">
        <v>0</v>
      </c>
      <c r="O334" s="2">
        <v>1</v>
      </c>
      <c r="P334" s="2">
        <v>0</v>
      </c>
      <c r="Q334" s="2">
        <v>0</v>
      </c>
      <c r="R334" s="2">
        <v>10</v>
      </c>
      <c r="S334" s="2">
        <v>4</v>
      </c>
      <c r="T334" s="2">
        <v>0</v>
      </c>
      <c r="U334" s="2">
        <v>1</v>
      </c>
      <c r="V334" s="2">
        <v>0</v>
      </c>
      <c r="W334" s="2">
        <v>0</v>
      </c>
      <c r="X334" s="2">
        <v>12</v>
      </c>
      <c r="Y334">
        <f t="shared" si="10"/>
        <v>8</v>
      </c>
      <c r="Z334">
        <f t="shared" si="11"/>
        <v>2.75</v>
      </c>
    </row>
    <row r="335" spans="1:26" x14ac:dyDescent="0.25">
      <c r="A335" t="s">
        <v>363</v>
      </c>
      <c r="B335" s="7">
        <v>59</v>
      </c>
      <c r="C335" s="7" t="s">
        <v>25</v>
      </c>
      <c r="D335" s="8" t="s">
        <v>28</v>
      </c>
      <c r="E335" s="2">
        <v>21.8</v>
      </c>
      <c r="F335" s="2">
        <v>24</v>
      </c>
      <c r="G335" s="2">
        <v>60</v>
      </c>
      <c r="H335" s="2">
        <v>65</v>
      </c>
      <c r="I335" s="2">
        <v>46</v>
      </c>
      <c r="J335" s="2">
        <v>50</v>
      </c>
      <c r="K335" s="2">
        <v>30</v>
      </c>
      <c r="L335" s="2">
        <v>3323</v>
      </c>
      <c r="M335" s="2"/>
      <c r="N335" s="2"/>
      <c r="O335" s="2"/>
      <c r="P335" s="2"/>
      <c r="Q335" s="2"/>
      <c r="R335" s="2"/>
      <c r="S335" s="2">
        <v>1</v>
      </c>
      <c r="T335" s="2">
        <v>5</v>
      </c>
      <c r="U335" s="2">
        <v>1</v>
      </c>
      <c r="V335" s="2">
        <v>1</v>
      </c>
      <c r="W335" s="2">
        <v>0</v>
      </c>
      <c r="X335" s="2">
        <v>32</v>
      </c>
      <c r="Y335">
        <f t="shared" si="10"/>
        <v>8</v>
      </c>
      <c r="Z335">
        <f t="shared" si="11"/>
        <v>4</v>
      </c>
    </row>
    <row r="336" spans="1:26" x14ac:dyDescent="0.25">
      <c r="A336" t="s">
        <v>364</v>
      </c>
      <c r="B336" s="7">
        <v>60</v>
      </c>
      <c r="C336" s="7" t="s">
        <v>25</v>
      </c>
      <c r="D336" s="8" t="s">
        <v>28</v>
      </c>
      <c r="E336" s="2">
        <v>19</v>
      </c>
      <c r="F336" s="2">
        <v>22.5</v>
      </c>
      <c r="G336" s="2">
        <v>54</v>
      </c>
      <c r="H336" s="2">
        <v>48</v>
      </c>
      <c r="I336" s="2">
        <v>60.5</v>
      </c>
      <c r="J336" s="2">
        <v>66</v>
      </c>
      <c r="K336" s="2">
        <v>30</v>
      </c>
      <c r="L336" s="2">
        <v>497</v>
      </c>
      <c r="M336" s="2">
        <v>2</v>
      </c>
      <c r="N336" s="2">
        <v>1</v>
      </c>
      <c r="O336" s="2">
        <v>3</v>
      </c>
      <c r="P336" s="2">
        <v>0</v>
      </c>
      <c r="Q336" s="2">
        <v>0</v>
      </c>
      <c r="R336" s="2">
        <v>27</v>
      </c>
      <c r="S336" s="2">
        <v>1</v>
      </c>
      <c r="T336" s="2">
        <v>0</v>
      </c>
      <c r="U336" s="2">
        <v>3</v>
      </c>
      <c r="V336" s="2">
        <v>0</v>
      </c>
      <c r="W336" s="2">
        <v>0</v>
      </c>
      <c r="X336" s="2">
        <v>22</v>
      </c>
      <c r="Y336">
        <f t="shared" si="10"/>
        <v>10</v>
      </c>
      <c r="Z336">
        <f t="shared" si="11"/>
        <v>4.9000000000000004</v>
      </c>
    </row>
    <row r="337" spans="1:26" x14ac:dyDescent="0.25">
      <c r="A337" t="s">
        <v>365</v>
      </c>
      <c r="B337" s="7">
        <v>61</v>
      </c>
      <c r="C337" s="7" t="s">
        <v>25</v>
      </c>
      <c r="D337" s="8" t="s">
        <v>28</v>
      </c>
      <c r="E337" s="2">
        <v>15.5</v>
      </c>
      <c r="F337" s="2">
        <v>21</v>
      </c>
      <c r="G337" s="2">
        <v>3</v>
      </c>
      <c r="H337" s="2">
        <v>46</v>
      </c>
      <c r="I337" s="2">
        <v>37</v>
      </c>
      <c r="J337" s="2">
        <v>31</v>
      </c>
      <c r="K337" s="2">
        <v>39</v>
      </c>
      <c r="L337" s="2">
        <v>444</v>
      </c>
      <c r="M337" s="2">
        <v>1</v>
      </c>
      <c r="N337" s="2">
        <v>0</v>
      </c>
      <c r="O337" s="2">
        <v>0</v>
      </c>
      <c r="P337" s="2">
        <v>0</v>
      </c>
      <c r="Q337" s="2">
        <v>1</v>
      </c>
      <c r="R337" s="2">
        <v>4</v>
      </c>
      <c r="S337" s="2">
        <v>0</v>
      </c>
      <c r="T337" s="2">
        <v>1</v>
      </c>
      <c r="U337" s="2">
        <v>2</v>
      </c>
      <c r="V337" s="2">
        <v>0</v>
      </c>
      <c r="W337" s="2">
        <v>0</v>
      </c>
      <c r="X337" s="2">
        <v>14</v>
      </c>
      <c r="Y337">
        <f t="shared" si="10"/>
        <v>5</v>
      </c>
      <c r="Z337">
        <f t="shared" si="11"/>
        <v>3.6</v>
      </c>
    </row>
    <row r="338" spans="1:26" x14ac:dyDescent="0.25">
      <c r="A338" t="s">
        <v>366</v>
      </c>
      <c r="B338" s="7">
        <v>62</v>
      </c>
      <c r="C338" s="7" t="s">
        <v>25</v>
      </c>
      <c r="D338" s="8" t="s">
        <v>28</v>
      </c>
      <c r="E338" s="2">
        <v>18.8</v>
      </c>
      <c r="F338" s="2">
        <v>18</v>
      </c>
      <c r="G338" s="2">
        <v>37</v>
      </c>
      <c r="H338" s="2">
        <v>37</v>
      </c>
      <c r="I338" s="2">
        <v>53</v>
      </c>
      <c r="J338" s="2">
        <v>53</v>
      </c>
      <c r="K338" s="2">
        <v>29</v>
      </c>
      <c r="L338" s="2"/>
      <c r="M338" s="2">
        <v>0</v>
      </c>
      <c r="N338" s="2">
        <v>0</v>
      </c>
      <c r="O338" s="2">
        <v>1</v>
      </c>
      <c r="P338" s="2">
        <v>0</v>
      </c>
      <c r="Q338" s="2">
        <v>0</v>
      </c>
      <c r="R338" s="2">
        <v>5</v>
      </c>
      <c r="S338" s="2"/>
      <c r="T338" s="2"/>
      <c r="U338" s="2"/>
      <c r="V338" s="2"/>
      <c r="W338" s="2"/>
      <c r="X338" s="2"/>
      <c r="Y338">
        <f t="shared" si="10"/>
        <v>1</v>
      </c>
      <c r="Z338">
        <f t="shared" si="11"/>
        <v>5</v>
      </c>
    </row>
    <row r="339" spans="1:26" x14ac:dyDescent="0.25">
      <c r="A339" t="s">
        <v>367</v>
      </c>
      <c r="B339" s="7">
        <v>63</v>
      </c>
      <c r="C339" s="7" t="s">
        <v>25</v>
      </c>
      <c r="D339" s="8" t="s">
        <v>28</v>
      </c>
      <c r="E339" s="2">
        <v>18</v>
      </c>
      <c r="F339" s="2">
        <v>26.5</v>
      </c>
      <c r="G339" s="2">
        <v>19</v>
      </c>
      <c r="H339" s="2">
        <v>135</v>
      </c>
      <c r="I339" s="2">
        <v>42</v>
      </c>
      <c r="J339" s="2">
        <v>62.2</v>
      </c>
      <c r="K339" s="2">
        <v>29</v>
      </c>
      <c r="L339" s="2">
        <v>1932</v>
      </c>
      <c r="M339" s="2">
        <v>0</v>
      </c>
      <c r="N339" s="2">
        <v>1</v>
      </c>
      <c r="O339" s="2">
        <v>3</v>
      </c>
      <c r="P339" s="2">
        <v>0</v>
      </c>
      <c r="Q339" s="2">
        <v>0</v>
      </c>
      <c r="R339" s="2">
        <v>22</v>
      </c>
      <c r="S339" s="2">
        <v>4</v>
      </c>
      <c r="T339" s="2">
        <v>0</v>
      </c>
      <c r="U339" s="2">
        <v>2</v>
      </c>
      <c r="V339" s="2">
        <v>0</v>
      </c>
      <c r="W339" s="2">
        <v>0</v>
      </c>
      <c r="X339" s="2">
        <v>25</v>
      </c>
      <c r="Y339">
        <f t="shared" si="10"/>
        <v>10</v>
      </c>
      <c r="Z339">
        <f t="shared" si="11"/>
        <v>4.7</v>
      </c>
    </row>
    <row r="340" spans="1:26" x14ac:dyDescent="0.25">
      <c r="A340" t="s">
        <v>368</v>
      </c>
      <c r="B340" s="7">
        <v>41</v>
      </c>
      <c r="C340" s="7" t="s">
        <v>26</v>
      </c>
      <c r="D340" s="8" t="s">
        <v>28</v>
      </c>
      <c r="E340" s="2">
        <v>16.5</v>
      </c>
      <c r="F340" s="2">
        <v>18</v>
      </c>
      <c r="G340" s="2">
        <v>44</v>
      </c>
      <c r="H340" s="2">
        <v>51</v>
      </c>
      <c r="I340" s="2">
        <v>43</v>
      </c>
      <c r="J340" s="2">
        <v>47</v>
      </c>
      <c r="K340" s="2">
        <v>30</v>
      </c>
      <c r="L340" s="2">
        <v>113</v>
      </c>
      <c r="M340" s="2">
        <v>0</v>
      </c>
      <c r="N340" s="2">
        <v>2</v>
      </c>
      <c r="O340" s="2">
        <v>2</v>
      </c>
      <c r="P340" s="2">
        <v>0</v>
      </c>
      <c r="Q340" s="2">
        <v>0</v>
      </c>
      <c r="R340" s="2">
        <v>18</v>
      </c>
      <c r="S340" s="2">
        <v>1</v>
      </c>
      <c r="T340" s="2">
        <v>0</v>
      </c>
      <c r="U340" s="2">
        <v>0</v>
      </c>
      <c r="V340" s="2">
        <v>0</v>
      </c>
      <c r="W340" s="2">
        <v>0</v>
      </c>
      <c r="X340" s="2">
        <v>10</v>
      </c>
      <c r="Y340">
        <f t="shared" si="10"/>
        <v>5</v>
      </c>
      <c r="Z340">
        <f t="shared" si="11"/>
        <v>5.6</v>
      </c>
    </row>
    <row r="341" spans="1:26" x14ac:dyDescent="0.25">
      <c r="A341" t="s">
        <v>369</v>
      </c>
      <c r="B341" s="7">
        <v>42</v>
      </c>
      <c r="C341" s="7" t="s">
        <v>26</v>
      </c>
      <c r="D341" s="8" t="s">
        <v>28</v>
      </c>
      <c r="E341" s="2">
        <v>18</v>
      </c>
      <c r="F341" s="2">
        <v>20.5</v>
      </c>
      <c r="G341" s="2">
        <v>24</v>
      </c>
      <c r="H341" s="2">
        <v>33</v>
      </c>
      <c r="I341" s="2">
        <v>44</v>
      </c>
      <c r="J341" s="2">
        <v>44</v>
      </c>
      <c r="K341" s="2">
        <v>37</v>
      </c>
      <c r="L341" s="2"/>
      <c r="M341" s="2">
        <v>1</v>
      </c>
      <c r="N341" s="2">
        <v>2</v>
      </c>
      <c r="O341" s="2">
        <v>0</v>
      </c>
      <c r="P341" s="2">
        <v>0</v>
      </c>
      <c r="Q341" s="2">
        <v>0</v>
      </c>
      <c r="R341" s="2">
        <v>22</v>
      </c>
      <c r="S341" s="2"/>
      <c r="T341" s="2"/>
      <c r="U341" s="2"/>
      <c r="V341" s="2"/>
      <c r="W341" s="2"/>
      <c r="X341" s="2"/>
      <c r="Y341">
        <f t="shared" si="10"/>
        <v>3</v>
      </c>
      <c r="Z341">
        <f t="shared" si="11"/>
        <v>7.333333333333333</v>
      </c>
    </row>
    <row r="342" spans="1:26" x14ac:dyDescent="0.25">
      <c r="A342" t="s">
        <v>370</v>
      </c>
      <c r="B342" s="7">
        <v>43</v>
      </c>
      <c r="C342" s="7" t="s">
        <v>26</v>
      </c>
      <c r="D342" s="8" t="s">
        <v>28</v>
      </c>
      <c r="E342" s="2">
        <v>17</v>
      </c>
      <c r="F342" s="2">
        <v>18</v>
      </c>
      <c r="G342" s="2"/>
      <c r="H342" s="2">
        <v>13</v>
      </c>
      <c r="I342" s="2"/>
      <c r="J342" s="2">
        <v>54.2</v>
      </c>
      <c r="K342" s="2">
        <v>33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>
        <f t="shared" si="10"/>
        <v>0</v>
      </c>
      <c r="Z342" t="e">
        <f t="shared" si="11"/>
        <v>#DIV/0!</v>
      </c>
    </row>
    <row r="343" spans="1:26" x14ac:dyDescent="0.25">
      <c r="A343" t="s">
        <v>371</v>
      </c>
      <c r="B343" s="7">
        <v>44</v>
      </c>
      <c r="C343" s="7" t="s">
        <v>26</v>
      </c>
      <c r="D343" s="8" t="s">
        <v>28</v>
      </c>
      <c r="E343" s="2">
        <v>13</v>
      </c>
      <c r="F343" s="2">
        <v>17</v>
      </c>
      <c r="G343" s="2">
        <v>30</v>
      </c>
      <c r="H343" s="2">
        <v>44</v>
      </c>
      <c r="I343" s="2">
        <v>42</v>
      </c>
      <c r="J343" s="2">
        <v>51</v>
      </c>
      <c r="K343" s="2">
        <v>31</v>
      </c>
      <c r="L343" s="2">
        <v>341</v>
      </c>
      <c r="M343" s="2">
        <v>1</v>
      </c>
      <c r="N343" s="2">
        <v>0</v>
      </c>
      <c r="O343" s="2">
        <v>3</v>
      </c>
      <c r="P343" s="2">
        <v>0</v>
      </c>
      <c r="Q343" s="2">
        <v>0</v>
      </c>
      <c r="R343" s="2">
        <v>19</v>
      </c>
      <c r="S343" s="2">
        <v>1</v>
      </c>
      <c r="T343" s="2">
        <v>0</v>
      </c>
      <c r="U343" s="2">
        <v>2</v>
      </c>
      <c r="V343" s="2">
        <v>1</v>
      </c>
      <c r="W343" s="2">
        <v>0</v>
      </c>
      <c r="X343" s="2">
        <v>27</v>
      </c>
      <c r="Y343">
        <f t="shared" si="10"/>
        <v>8</v>
      </c>
      <c r="Z343">
        <f t="shared" si="11"/>
        <v>5.75</v>
      </c>
    </row>
    <row r="344" spans="1:26" x14ac:dyDescent="0.25">
      <c r="A344" t="s">
        <v>372</v>
      </c>
      <c r="B344" s="7">
        <v>45</v>
      </c>
      <c r="C344" s="7" t="s">
        <v>26</v>
      </c>
      <c r="D344" s="8" t="s">
        <v>28</v>
      </c>
      <c r="E344" s="2">
        <v>15.3</v>
      </c>
      <c r="F344" s="2"/>
      <c r="G344" s="2">
        <v>3</v>
      </c>
      <c r="H344" s="2">
        <v>24</v>
      </c>
      <c r="I344" s="2">
        <v>30</v>
      </c>
      <c r="J344" s="2">
        <v>47.1</v>
      </c>
      <c r="K344" s="2">
        <v>31</v>
      </c>
      <c r="L344" s="2">
        <v>858</v>
      </c>
      <c r="M344" s="2"/>
      <c r="N344" s="2"/>
      <c r="O344" s="2"/>
      <c r="P344" s="2"/>
      <c r="Q344" s="2"/>
      <c r="R344" s="2"/>
      <c r="S344" s="2">
        <v>1</v>
      </c>
      <c r="T344" s="2">
        <v>0</v>
      </c>
      <c r="U344" s="2">
        <v>2</v>
      </c>
      <c r="V344" s="2">
        <v>0</v>
      </c>
      <c r="W344" s="2">
        <v>0</v>
      </c>
      <c r="X344" s="2">
        <v>19</v>
      </c>
      <c r="Y344">
        <f t="shared" si="10"/>
        <v>3</v>
      </c>
      <c r="Z344">
        <f t="shared" si="11"/>
        <v>6.333333333333333</v>
      </c>
    </row>
    <row r="345" spans="1:26" x14ac:dyDescent="0.25">
      <c r="A345" t="s">
        <v>373</v>
      </c>
      <c r="B345" s="7">
        <v>46</v>
      </c>
      <c r="C345" s="7" t="s">
        <v>26</v>
      </c>
      <c r="D345" s="8" t="s">
        <v>28</v>
      </c>
      <c r="E345" s="2">
        <v>15.5</v>
      </c>
      <c r="F345" s="2"/>
      <c r="G345" s="2">
        <v>6</v>
      </c>
      <c r="H345" s="2"/>
      <c r="I345" s="2">
        <v>25</v>
      </c>
      <c r="J345" s="2"/>
      <c r="K345" s="2">
        <v>30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>
        <f t="shared" si="10"/>
        <v>0</v>
      </c>
      <c r="Z345" t="e">
        <f t="shared" si="11"/>
        <v>#DIV/0!</v>
      </c>
    </row>
    <row r="346" spans="1:26" x14ac:dyDescent="0.25">
      <c r="A346" t="s">
        <v>374</v>
      </c>
      <c r="B346" s="7">
        <v>47</v>
      </c>
      <c r="C346" s="7" t="s">
        <v>26</v>
      </c>
      <c r="D346" s="8" t="s">
        <v>28</v>
      </c>
      <c r="E346" s="2">
        <v>16</v>
      </c>
      <c r="F346" s="2">
        <v>27</v>
      </c>
      <c r="G346" s="2">
        <v>11</v>
      </c>
      <c r="H346" s="2"/>
      <c r="I346" s="2">
        <v>44</v>
      </c>
      <c r="J346" s="2"/>
      <c r="K346" s="2">
        <v>35</v>
      </c>
      <c r="L346" s="2"/>
      <c r="M346" s="2">
        <v>0</v>
      </c>
      <c r="N346" s="2">
        <v>0</v>
      </c>
      <c r="O346" s="2">
        <v>2</v>
      </c>
      <c r="P346" s="2">
        <v>0</v>
      </c>
      <c r="Q346" s="2">
        <v>0</v>
      </c>
      <c r="R346" s="2">
        <v>5</v>
      </c>
      <c r="S346" s="2"/>
      <c r="T346" s="2"/>
      <c r="U346" s="2"/>
      <c r="V346" s="2"/>
      <c r="W346" s="2"/>
      <c r="X346" s="2"/>
      <c r="Y346">
        <f t="shared" si="10"/>
        <v>2</v>
      </c>
      <c r="Z346">
        <f t="shared" si="11"/>
        <v>2.5</v>
      </c>
    </row>
    <row r="347" spans="1:26" x14ac:dyDescent="0.25">
      <c r="A347" t="s">
        <v>375</v>
      </c>
      <c r="B347" s="7">
        <v>48</v>
      </c>
      <c r="C347" s="7" t="s">
        <v>26</v>
      </c>
      <c r="D347" s="8" t="s">
        <v>28</v>
      </c>
      <c r="E347" s="2">
        <v>17.5</v>
      </c>
      <c r="F347" s="2">
        <v>16</v>
      </c>
      <c r="G347" s="2"/>
      <c r="H347" s="2"/>
      <c r="I347" s="2"/>
      <c r="J347" s="2"/>
      <c r="K347" s="2">
        <v>37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>
        <f t="shared" si="10"/>
        <v>0</v>
      </c>
      <c r="Z347" t="e">
        <f t="shared" si="11"/>
        <v>#DIV/0!</v>
      </c>
    </row>
    <row r="348" spans="1:26" x14ac:dyDescent="0.25">
      <c r="A348" t="s">
        <v>376</v>
      </c>
      <c r="B348" s="7">
        <v>49</v>
      </c>
      <c r="C348" s="7" t="s">
        <v>26</v>
      </c>
      <c r="D348" s="8" t="s">
        <v>28</v>
      </c>
      <c r="E348" s="2">
        <v>18.5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>
        <f t="shared" si="10"/>
        <v>0</v>
      </c>
      <c r="Z348" t="e">
        <f t="shared" si="11"/>
        <v>#DIV/0!</v>
      </c>
    </row>
    <row r="349" spans="1:26" x14ac:dyDescent="0.25">
      <c r="A349" t="s">
        <v>377</v>
      </c>
      <c r="B349" s="7">
        <v>50</v>
      </c>
      <c r="C349" s="7" t="s">
        <v>26</v>
      </c>
      <c r="D349" s="8" t="s">
        <v>28</v>
      </c>
      <c r="E349" s="2">
        <v>19.5</v>
      </c>
      <c r="F349" s="2">
        <v>29</v>
      </c>
      <c r="G349" s="2">
        <v>228</v>
      </c>
      <c r="H349" s="2">
        <v>336</v>
      </c>
      <c r="I349" s="2">
        <v>68</v>
      </c>
      <c r="J349" s="2">
        <v>69</v>
      </c>
      <c r="K349" s="2">
        <v>44</v>
      </c>
      <c r="L349" s="2"/>
      <c r="M349" s="2">
        <v>2</v>
      </c>
      <c r="N349" s="2">
        <v>0</v>
      </c>
      <c r="O349" s="2">
        <v>4</v>
      </c>
      <c r="P349" s="2">
        <v>0</v>
      </c>
      <c r="Q349" s="2">
        <v>0</v>
      </c>
      <c r="R349" s="2">
        <v>25</v>
      </c>
      <c r="S349" s="2">
        <v>2</v>
      </c>
      <c r="T349" s="2">
        <v>0</v>
      </c>
      <c r="U349" s="2">
        <v>3</v>
      </c>
      <c r="V349" s="2">
        <v>2</v>
      </c>
      <c r="W349" s="2">
        <v>0</v>
      </c>
      <c r="X349" s="2">
        <v>46</v>
      </c>
      <c r="Y349">
        <f t="shared" si="10"/>
        <v>13</v>
      </c>
      <c r="Z349">
        <f t="shared" si="11"/>
        <v>5.4615384615384617</v>
      </c>
    </row>
    <row r="350" spans="1:26" x14ac:dyDescent="0.25">
      <c r="A350" t="s">
        <v>378</v>
      </c>
      <c r="B350" s="7">
        <v>51</v>
      </c>
      <c r="C350" s="7" t="s">
        <v>26</v>
      </c>
      <c r="D350" s="8" t="s">
        <v>28</v>
      </c>
      <c r="E350" s="2">
        <v>16.5</v>
      </c>
      <c r="F350" s="2">
        <v>9</v>
      </c>
      <c r="G350" s="2"/>
      <c r="H350" s="2"/>
      <c r="I350" s="2"/>
      <c r="J350" s="2"/>
      <c r="K350" s="2">
        <v>33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>
        <f t="shared" si="10"/>
        <v>0</v>
      </c>
      <c r="Z350" t="e">
        <f t="shared" si="11"/>
        <v>#DIV/0!</v>
      </c>
    </row>
    <row r="351" spans="1:26" x14ac:dyDescent="0.25">
      <c r="A351" t="s">
        <v>379</v>
      </c>
      <c r="B351" s="7">
        <v>52</v>
      </c>
      <c r="C351" s="7" t="s">
        <v>26</v>
      </c>
      <c r="D351" s="8" t="s">
        <v>28</v>
      </c>
      <c r="E351" s="2">
        <v>12</v>
      </c>
      <c r="F351" s="2">
        <v>15.5</v>
      </c>
      <c r="G351" s="2">
        <v>3</v>
      </c>
      <c r="H351" s="2">
        <v>18</v>
      </c>
      <c r="I351" s="2">
        <v>28.5</v>
      </c>
      <c r="J351" s="2">
        <v>36</v>
      </c>
      <c r="K351" s="2">
        <v>35</v>
      </c>
      <c r="L351" s="2"/>
      <c r="M351" s="2"/>
      <c r="N351" s="2"/>
      <c r="O351" s="2"/>
      <c r="P351" s="2"/>
      <c r="Q351" s="2"/>
      <c r="R351" s="2"/>
      <c r="S351" s="2">
        <v>3</v>
      </c>
      <c r="T351" s="2">
        <v>0</v>
      </c>
      <c r="U351" s="2">
        <v>1</v>
      </c>
      <c r="V351" s="2">
        <v>0</v>
      </c>
      <c r="W351" s="2">
        <v>0</v>
      </c>
      <c r="X351" s="2">
        <v>16</v>
      </c>
      <c r="Y351">
        <f t="shared" si="10"/>
        <v>4</v>
      </c>
      <c r="Z351">
        <f t="shared" si="11"/>
        <v>4</v>
      </c>
    </row>
    <row r="352" spans="1:26" x14ac:dyDescent="0.25">
      <c r="A352" t="s">
        <v>380</v>
      </c>
      <c r="B352" s="7">
        <v>53</v>
      </c>
      <c r="C352" s="7" t="s">
        <v>26</v>
      </c>
      <c r="D352" s="8" t="s">
        <v>28</v>
      </c>
      <c r="E352" s="2">
        <v>14.8</v>
      </c>
      <c r="F352" s="2">
        <v>19</v>
      </c>
      <c r="G352" s="2">
        <v>16</v>
      </c>
      <c r="H352" s="2"/>
      <c r="I352" s="2">
        <v>46</v>
      </c>
      <c r="J352" s="2"/>
      <c r="K352" s="2">
        <v>35</v>
      </c>
      <c r="L352" s="2"/>
      <c r="M352" s="2">
        <v>2</v>
      </c>
      <c r="N352" s="2">
        <v>2</v>
      </c>
      <c r="O352" s="2">
        <v>0</v>
      </c>
      <c r="P352" s="2">
        <v>0</v>
      </c>
      <c r="Q352" s="2">
        <v>0</v>
      </c>
      <c r="R352" s="2">
        <v>17</v>
      </c>
      <c r="S352" s="2"/>
      <c r="T352" s="2"/>
      <c r="U352" s="2"/>
      <c r="V352" s="2"/>
      <c r="W352" s="2"/>
      <c r="X352" s="2"/>
      <c r="Y352">
        <f t="shared" si="10"/>
        <v>4</v>
      </c>
      <c r="Z352">
        <f t="shared" si="11"/>
        <v>4.25</v>
      </c>
    </row>
    <row r="353" spans="1:26" x14ac:dyDescent="0.25">
      <c r="A353" t="s">
        <v>381</v>
      </c>
      <c r="B353" s="7">
        <v>54</v>
      </c>
      <c r="C353" s="7" t="s">
        <v>26</v>
      </c>
      <c r="D353" s="8" t="s">
        <v>28</v>
      </c>
      <c r="E353" s="2">
        <v>15</v>
      </c>
      <c r="F353" s="2">
        <v>18.5</v>
      </c>
      <c r="G353" s="2"/>
      <c r="H353" s="2"/>
      <c r="I353" s="2"/>
      <c r="J353" s="2"/>
      <c r="K353" s="2">
        <v>33</v>
      </c>
      <c r="L353" s="2">
        <v>781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>
        <f t="shared" si="10"/>
        <v>0</v>
      </c>
      <c r="Z353" t="e">
        <f t="shared" si="11"/>
        <v>#DIV/0!</v>
      </c>
    </row>
    <row r="354" spans="1:26" x14ac:dyDescent="0.25">
      <c r="A354" t="s">
        <v>382</v>
      </c>
      <c r="B354" s="7">
        <v>55</v>
      </c>
      <c r="C354" s="7" t="s">
        <v>26</v>
      </c>
      <c r="D354" s="8" t="s">
        <v>28</v>
      </c>
      <c r="E354" s="2">
        <v>12.4</v>
      </c>
      <c r="F354" s="2">
        <v>13.5</v>
      </c>
      <c r="G354" s="2">
        <v>14</v>
      </c>
      <c r="H354" s="2">
        <v>13</v>
      </c>
      <c r="I354" s="2">
        <v>52.2</v>
      </c>
      <c r="J354" s="2">
        <v>58.5</v>
      </c>
      <c r="K354" s="2">
        <v>35</v>
      </c>
      <c r="L354" s="2">
        <v>790</v>
      </c>
      <c r="M354" s="2">
        <v>0</v>
      </c>
      <c r="N354" s="2">
        <v>1</v>
      </c>
      <c r="O354" s="2">
        <v>2</v>
      </c>
      <c r="P354" s="2">
        <v>0</v>
      </c>
      <c r="Q354" s="2">
        <v>0</v>
      </c>
      <c r="R354" s="2">
        <v>11</v>
      </c>
      <c r="S354" s="2">
        <v>3</v>
      </c>
      <c r="T354" s="2">
        <v>0</v>
      </c>
      <c r="U354" s="2">
        <v>0</v>
      </c>
      <c r="V354" s="2">
        <v>0</v>
      </c>
      <c r="W354" s="2">
        <v>0</v>
      </c>
      <c r="X354" s="2">
        <v>6</v>
      </c>
      <c r="Y354">
        <f t="shared" si="10"/>
        <v>6</v>
      </c>
      <c r="Z354">
        <f t="shared" si="11"/>
        <v>2.8333333333333335</v>
      </c>
    </row>
    <row r="355" spans="1:26" x14ac:dyDescent="0.25">
      <c r="A355" t="s">
        <v>383</v>
      </c>
      <c r="B355" s="7">
        <v>56</v>
      </c>
      <c r="C355" s="7" t="s">
        <v>26</v>
      </c>
      <c r="D355" s="8" t="s">
        <v>28</v>
      </c>
      <c r="E355" s="2">
        <v>15.7</v>
      </c>
      <c r="F355" s="2">
        <v>17.5</v>
      </c>
      <c r="G355" s="2">
        <v>31</v>
      </c>
      <c r="H355" s="2">
        <v>13</v>
      </c>
      <c r="I355" s="2">
        <v>45</v>
      </c>
      <c r="J355" s="2">
        <v>48</v>
      </c>
      <c r="K355" s="2">
        <v>31</v>
      </c>
      <c r="L355" s="2"/>
      <c r="M355" s="2">
        <v>1</v>
      </c>
      <c r="N355" s="2">
        <v>0</v>
      </c>
      <c r="O355" s="2">
        <v>1</v>
      </c>
      <c r="P355" s="2">
        <v>0</v>
      </c>
      <c r="Q355" s="2">
        <v>0</v>
      </c>
      <c r="R355" s="2">
        <v>5</v>
      </c>
      <c r="S355" s="2">
        <v>2</v>
      </c>
      <c r="T355" s="2">
        <v>1</v>
      </c>
      <c r="U355" s="2">
        <v>1</v>
      </c>
      <c r="V355" s="2">
        <v>0</v>
      </c>
      <c r="W355" s="2">
        <v>0</v>
      </c>
      <c r="X355" s="2">
        <v>9</v>
      </c>
      <c r="Y355">
        <f t="shared" si="10"/>
        <v>6</v>
      </c>
      <c r="Z355">
        <f t="shared" si="11"/>
        <v>2.3333333333333335</v>
      </c>
    </row>
    <row r="356" spans="1:26" x14ac:dyDescent="0.25">
      <c r="A356" t="s">
        <v>384</v>
      </c>
      <c r="B356" s="7">
        <v>57</v>
      </c>
      <c r="C356" s="7" t="s">
        <v>26</v>
      </c>
      <c r="D356" s="8" t="s">
        <v>28</v>
      </c>
      <c r="E356" s="2">
        <v>15</v>
      </c>
      <c r="F356" s="2">
        <v>16</v>
      </c>
      <c r="G356" s="2">
        <v>22</v>
      </c>
      <c r="H356" s="2">
        <v>8</v>
      </c>
      <c r="I356" s="2">
        <v>39.5</v>
      </c>
      <c r="J356" s="2">
        <v>41.7</v>
      </c>
      <c r="K356" s="2">
        <v>31</v>
      </c>
      <c r="L356" s="2"/>
      <c r="M356" s="2">
        <v>0</v>
      </c>
      <c r="N356" s="2">
        <v>1</v>
      </c>
      <c r="O356" s="2">
        <v>0</v>
      </c>
      <c r="P356" s="2">
        <v>0</v>
      </c>
      <c r="Q356" s="2">
        <v>0</v>
      </c>
      <c r="R356" s="2">
        <v>3</v>
      </c>
      <c r="S356" s="2">
        <v>0</v>
      </c>
      <c r="T356" s="2">
        <v>0</v>
      </c>
      <c r="U356" s="2">
        <v>1</v>
      </c>
      <c r="V356" s="2">
        <v>0</v>
      </c>
      <c r="W356" s="2">
        <v>0</v>
      </c>
      <c r="X356" s="2">
        <v>2</v>
      </c>
      <c r="Y356">
        <f t="shared" si="10"/>
        <v>2</v>
      </c>
      <c r="Z356">
        <f t="shared" si="11"/>
        <v>2.5</v>
      </c>
    </row>
    <row r="357" spans="1:26" x14ac:dyDescent="0.25">
      <c r="A357" t="s">
        <v>385</v>
      </c>
      <c r="B357" s="7">
        <v>58</v>
      </c>
      <c r="C357" s="7" t="s">
        <v>26</v>
      </c>
      <c r="D357" s="8" t="s">
        <v>28</v>
      </c>
      <c r="E357" s="2">
        <v>14</v>
      </c>
      <c r="F357" s="2"/>
      <c r="G357" s="2">
        <v>11</v>
      </c>
      <c r="H357" s="2"/>
      <c r="I357" s="2">
        <v>40</v>
      </c>
      <c r="J357" s="2"/>
      <c r="K357" s="2">
        <v>37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>
        <f t="shared" si="10"/>
        <v>0</v>
      </c>
      <c r="Z357" t="e">
        <f t="shared" si="11"/>
        <v>#DIV/0!</v>
      </c>
    </row>
    <row r="358" spans="1:26" x14ac:dyDescent="0.25">
      <c r="A358" t="s">
        <v>386</v>
      </c>
      <c r="B358" s="7">
        <v>59</v>
      </c>
      <c r="C358" s="7" t="s">
        <v>26</v>
      </c>
      <c r="D358" s="8" t="s">
        <v>28</v>
      </c>
      <c r="E358" s="2">
        <v>13</v>
      </c>
      <c r="F358" s="2">
        <v>16</v>
      </c>
      <c r="G358" s="2"/>
      <c r="H358" s="2">
        <v>10</v>
      </c>
      <c r="I358" s="2"/>
      <c r="J358" s="2">
        <v>31.5</v>
      </c>
      <c r="K358" s="2">
        <v>33</v>
      </c>
      <c r="L358" s="2"/>
      <c r="M358" s="2"/>
      <c r="N358" s="2"/>
      <c r="O358" s="2"/>
      <c r="P358" s="2"/>
      <c r="Q358" s="2"/>
      <c r="R358" s="2"/>
      <c r="S358" s="2">
        <v>0</v>
      </c>
      <c r="T358" s="2">
        <v>0</v>
      </c>
      <c r="U358" s="2">
        <v>0</v>
      </c>
      <c r="V358" s="2">
        <v>1</v>
      </c>
      <c r="W358" s="2">
        <v>0</v>
      </c>
      <c r="X358" s="2">
        <v>2</v>
      </c>
      <c r="Y358">
        <f t="shared" si="10"/>
        <v>1</v>
      </c>
      <c r="Z358">
        <f t="shared" si="11"/>
        <v>2</v>
      </c>
    </row>
    <row r="359" spans="1:26" x14ac:dyDescent="0.25">
      <c r="A359" t="s">
        <v>387</v>
      </c>
      <c r="B359" s="7">
        <v>60</v>
      </c>
      <c r="C359" s="7" t="s">
        <v>26</v>
      </c>
      <c r="D359" s="8" t="s">
        <v>28</v>
      </c>
      <c r="E359" s="2">
        <v>15</v>
      </c>
      <c r="F359" s="2">
        <v>17</v>
      </c>
      <c r="G359" s="2">
        <v>33</v>
      </c>
      <c r="H359" s="2">
        <v>11</v>
      </c>
      <c r="I359" s="2">
        <v>35.5</v>
      </c>
      <c r="J359" s="2">
        <v>39.4</v>
      </c>
      <c r="K359" s="2">
        <v>42</v>
      </c>
      <c r="L359" s="2">
        <v>91</v>
      </c>
      <c r="M359" s="2">
        <v>3</v>
      </c>
      <c r="N359" s="2">
        <v>1</v>
      </c>
      <c r="O359" s="2">
        <v>3</v>
      </c>
      <c r="P359" s="2">
        <v>0</v>
      </c>
      <c r="Q359" s="2">
        <v>1</v>
      </c>
      <c r="R359" s="2">
        <v>30</v>
      </c>
      <c r="S359" s="2">
        <v>0</v>
      </c>
      <c r="T359" s="2">
        <v>0</v>
      </c>
      <c r="U359" s="2">
        <v>1</v>
      </c>
      <c r="V359" s="2">
        <v>0</v>
      </c>
      <c r="W359" s="2">
        <v>0</v>
      </c>
      <c r="X359" s="2">
        <v>3</v>
      </c>
      <c r="Y359">
        <f t="shared" si="10"/>
        <v>9</v>
      </c>
      <c r="Z359">
        <f t="shared" si="11"/>
        <v>3.6666666666666665</v>
      </c>
    </row>
    <row r="360" spans="1:26" x14ac:dyDescent="0.25">
      <c r="A360" t="s">
        <v>388</v>
      </c>
      <c r="B360" s="7">
        <v>61</v>
      </c>
      <c r="C360" s="7" t="s">
        <v>26</v>
      </c>
      <c r="D360" s="8" t="s">
        <v>28</v>
      </c>
      <c r="E360" s="2">
        <v>12.2</v>
      </c>
      <c r="F360" s="2">
        <v>14</v>
      </c>
      <c r="G360" s="2">
        <v>19</v>
      </c>
      <c r="H360" s="2">
        <v>14</v>
      </c>
      <c r="I360" s="2">
        <v>38.299999999999997</v>
      </c>
      <c r="J360" s="2">
        <v>46.1</v>
      </c>
      <c r="K360" s="2">
        <v>35</v>
      </c>
      <c r="L360" s="2">
        <v>307</v>
      </c>
      <c r="M360" s="2">
        <v>0</v>
      </c>
      <c r="N360" s="2">
        <v>1</v>
      </c>
      <c r="O360" s="2">
        <v>3</v>
      </c>
      <c r="P360" s="2">
        <v>0</v>
      </c>
      <c r="Q360" s="2">
        <v>0</v>
      </c>
      <c r="R360" s="2">
        <v>15</v>
      </c>
      <c r="S360" s="2">
        <v>0</v>
      </c>
      <c r="T360" s="2">
        <v>0</v>
      </c>
      <c r="U360" s="2">
        <v>1</v>
      </c>
      <c r="V360" s="2">
        <v>0</v>
      </c>
      <c r="W360" s="2">
        <v>0</v>
      </c>
      <c r="X360" s="2">
        <v>4</v>
      </c>
      <c r="Y360">
        <f t="shared" si="10"/>
        <v>5</v>
      </c>
      <c r="Z360">
        <f t="shared" si="11"/>
        <v>3.8</v>
      </c>
    </row>
    <row r="361" spans="1:26" x14ac:dyDescent="0.25">
      <c r="Y361">
        <f t="shared" si="10"/>
        <v>0</v>
      </c>
      <c r="Z361" t="e">
        <f t="shared" si="11"/>
        <v>#DIV/0!</v>
      </c>
    </row>
    <row r="362" spans="1:26" x14ac:dyDescent="0.25">
      <c r="Y362">
        <f t="shared" si="10"/>
        <v>0</v>
      </c>
      <c r="Z362" t="e">
        <f t="shared" si="11"/>
        <v>#DIV/0!</v>
      </c>
    </row>
    <row r="363" spans="1:26" x14ac:dyDescent="0.25">
      <c r="Y363">
        <f t="shared" si="10"/>
        <v>0</v>
      </c>
      <c r="Z363" t="e">
        <f t="shared" si="11"/>
        <v>#DIV/0!</v>
      </c>
    </row>
    <row r="364" spans="1:26" x14ac:dyDescent="0.25">
      <c r="Y364">
        <f t="shared" si="10"/>
        <v>0</v>
      </c>
      <c r="Z364" t="e">
        <f t="shared" si="11"/>
        <v>#DIV/0!</v>
      </c>
    </row>
    <row r="365" spans="1:26" x14ac:dyDescent="0.25">
      <c r="Y365">
        <f t="shared" si="10"/>
        <v>0</v>
      </c>
      <c r="Z365" t="e">
        <f t="shared" si="11"/>
        <v>#DIV/0!</v>
      </c>
    </row>
    <row r="366" spans="1:26" x14ac:dyDescent="0.25">
      <c r="Y366">
        <f t="shared" si="10"/>
        <v>0</v>
      </c>
      <c r="Z366" t="e">
        <f t="shared" si="11"/>
        <v>#DIV/0!</v>
      </c>
    </row>
    <row r="367" spans="1:26" x14ac:dyDescent="0.25">
      <c r="Y367">
        <f t="shared" si="10"/>
        <v>0</v>
      </c>
      <c r="Z367" t="e">
        <f t="shared" si="11"/>
        <v>#DIV/0!</v>
      </c>
    </row>
    <row r="368" spans="1:26" x14ac:dyDescent="0.25">
      <c r="Y368">
        <f t="shared" si="10"/>
        <v>0</v>
      </c>
      <c r="Z368" t="e">
        <f t="shared" si="11"/>
        <v>#DIV/0!</v>
      </c>
    </row>
    <row r="369" spans="25:26" x14ac:dyDescent="0.25">
      <c r="Y369">
        <f t="shared" si="10"/>
        <v>0</v>
      </c>
      <c r="Z369" t="e">
        <f t="shared" si="11"/>
        <v>#DIV/0!</v>
      </c>
    </row>
    <row r="370" spans="25:26" x14ac:dyDescent="0.25">
      <c r="Y370">
        <f t="shared" si="10"/>
        <v>0</v>
      </c>
      <c r="Z370" t="e">
        <f t="shared" si="11"/>
        <v>#DIV/0!</v>
      </c>
    </row>
    <row r="371" spans="25:26" x14ac:dyDescent="0.25">
      <c r="Y371">
        <f t="shared" si="10"/>
        <v>0</v>
      </c>
      <c r="Z371" t="e">
        <f t="shared" si="11"/>
        <v>#DIV/0!</v>
      </c>
    </row>
    <row r="372" spans="25:26" x14ac:dyDescent="0.25">
      <c r="Y372">
        <f t="shared" si="10"/>
        <v>0</v>
      </c>
      <c r="Z372" t="e">
        <f t="shared" si="11"/>
        <v>#DIV/0!</v>
      </c>
    </row>
    <row r="373" spans="25:26" x14ac:dyDescent="0.25">
      <c r="Y373">
        <f t="shared" si="10"/>
        <v>0</v>
      </c>
      <c r="Z373" t="e">
        <f t="shared" si="11"/>
        <v>#DIV/0!</v>
      </c>
    </row>
    <row r="374" spans="25:26" x14ac:dyDescent="0.25">
      <c r="Y374">
        <f t="shared" si="10"/>
        <v>0</v>
      </c>
      <c r="Z374" t="e">
        <f t="shared" si="11"/>
        <v>#DIV/0!</v>
      </c>
    </row>
    <row r="375" spans="25:26" x14ac:dyDescent="0.25">
      <c r="Y375">
        <f t="shared" si="10"/>
        <v>0</v>
      </c>
      <c r="Z375" t="e">
        <f t="shared" si="11"/>
        <v>#DIV/0!</v>
      </c>
    </row>
    <row r="376" spans="25:26" x14ac:dyDescent="0.25">
      <c r="Y376">
        <f t="shared" si="10"/>
        <v>0</v>
      </c>
      <c r="Z376" t="e">
        <f t="shared" si="11"/>
        <v>#DIV/0!</v>
      </c>
    </row>
    <row r="377" spans="25:26" x14ac:dyDescent="0.25">
      <c r="Y377">
        <f t="shared" si="10"/>
        <v>0</v>
      </c>
      <c r="Z377" t="e">
        <f t="shared" si="11"/>
        <v>#DIV/0!</v>
      </c>
    </row>
    <row r="378" spans="25:26" x14ac:dyDescent="0.25">
      <c r="Y378">
        <f t="shared" si="10"/>
        <v>0</v>
      </c>
      <c r="Z378" t="e">
        <f t="shared" si="11"/>
        <v>#DIV/0!</v>
      </c>
    </row>
    <row r="379" spans="25:26" x14ac:dyDescent="0.25">
      <c r="Y379">
        <f t="shared" si="10"/>
        <v>0</v>
      </c>
      <c r="Z379" t="e">
        <f t="shared" si="11"/>
        <v>#DIV/0!</v>
      </c>
    </row>
    <row r="380" spans="25:26" x14ac:dyDescent="0.25">
      <c r="Y380">
        <f t="shared" si="10"/>
        <v>0</v>
      </c>
      <c r="Z380" t="e">
        <f t="shared" si="11"/>
        <v>#DIV/0!</v>
      </c>
    </row>
    <row r="381" spans="25:26" x14ac:dyDescent="0.25">
      <c r="Y381">
        <f t="shared" si="10"/>
        <v>0</v>
      </c>
      <c r="Z381" t="e">
        <f t="shared" si="11"/>
        <v>#DIV/0!</v>
      </c>
    </row>
    <row r="382" spans="25:26" x14ac:dyDescent="0.25">
      <c r="Y382">
        <f t="shared" si="10"/>
        <v>0</v>
      </c>
      <c r="Z382" t="e">
        <f t="shared" si="11"/>
        <v>#DIV/0!</v>
      </c>
    </row>
    <row r="383" spans="25:26" x14ac:dyDescent="0.25">
      <c r="Y383">
        <f t="shared" si="10"/>
        <v>0</v>
      </c>
      <c r="Z383" t="e">
        <f t="shared" si="11"/>
        <v>#DIV/0!</v>
      </c>
    </row>
    <row r="384" spans="25:26" x14ac:dyDescent="0.25">
      <c r="Y384">
        <f t="shared" si="10"/>
        <v>0</v>
      </c>
      <c r="Z384" t="e">
        <f t="shared" si="11"/>
        <v>#DIV/0!</v>
      </c>
    </row>
    <row r="385" spans="25:26" x14ac:dyDescent="0.25">
      <c r="Y385">
        <f t="shared" si="10"/>
        <v>0</v>
      </c>
      <c r="Z385" t="e">
        <f t="shared" si="11"/>
        <v>#DIV/0!</v>
      </c>
    </row>
    <row r="386" spans="25:26" x14ac:dyDescent="0.25">
      <c r="Y386">
        <f t="shared" si="10"/>
        <v>0</v>
      </c>
      <c r="Z386" t="e">
        <f t="shared" si="11"/>
        <v>#DIV/0!</v>
      </c>
    </row>
    <row r="387" spans="25:26" x14ac:dyDescent="0.25">
      <c r="Y387">
        <f t="shared" ref="Y387:Y388" si="12">SUM(M387:Q387,S387:W387)</f>
        <v>0</v>
      </c>
      <c r="Z387" t="e">
        <f t="shared" ref="Z387:Z388" si="13">(R387+X387) / (SUM(M387:Q387) + (SUM(S387:W387)))</f>
        <v>#DIV/0!</v>
      </c>
    </row>
    <row r="388" spans="25:26" x14ac:dyDescent="0.25">
      <c r="Y388">
        <f t="shared" si="12"/>
        <v>0</v>
      </c>
      <c r="Z388" t="e">
        <f t="shared" si="13"/>
        <v>#DIV/0!</v>
      </c>
    </row>
  </sheetData>
  <conditionalFormatting sqref="A1:A360">
    <cfRule type="duplicateValues" dxfId="2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9306-80AB-41D6-BA66-15E3E24F8DF6}">
  <dimension ref="A1:Z388"/>
  <sheetViews>
    <sheetView zoomScale="70" zoomScaleNormal="70" workbookViewId="0">
      <pane ySplit="1" topLeftCell="A2" activePane="bottomLeft" state="frozen"/>
      <selection pane="bottomLeft" activeCell="Z1" sqref="A1:Z1"/>
    </sheetView>
  </sheetViews>
  <sheetFormatPr defaultColWidth="8.85546875" defaultRowHeight="15" x14ac:dyDescent="0.25"/>
  <cols>
    <col min="1" max="1" width="11.85546875" bestFit="1" customWidth="1"/>
    <col min="2" max="2" width="3.85546875" style="16" bestFit="1" customWidth="1"/>
    <col min="3" max="3" width="10.42578125" bestFit="1" customWidth="1"/>
    <col min="4" max="4" width="6.42578125" style="16" bestFit="1" customWidth="1"/>
    <col min="5" max="6" width="9.42578125" bestFit="1" customWidth="1"/>
    <col min="11" max="11" width="13.42578125" customWidth="1"/>
    <col min="12" max="12" width="16.42578125" bestFit="1" customWidth="1"/>
    <col min="13" max="13" width="10.5703125" bestFit="1" customWidth="1"/>
    <col min="18" max="18" width="14.5703125" bestFit="1" customWidth="1"/>
    <col min="24" max="24" width="14.5703125" bestFit="1" customWidth="1"/>
    <col min="25" max="25" width="18" bestFit="1" customWidth="1"/>
  </cols>
  <sheetData>
    <row r="1" spans="1:26" s="6" customFormat="1" ht="15.75" x14ac:dyDescent="0.25">
      <c r="A1" s="5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5" t="s">
        <v>7</v>
      </c>
      <c r="I1" s="4" t="s">
        <v>6</v>
      </c>
      <c r="J1" s="5" t="s">
        <v>8</v>
      </c>
      <c r="K1" s="1" t="s">
        <v>793</v>
      </c>
      <c r="L1" s="5" t="s">
        <v>9</v>
      </c>
      <c r="M1" s="12" t="s">
        <v>10</v>
      </c>
      <c r="N1" s="12" t="s">
        <v>389</v>
      </c>
      <c r="O1" s="12" t="s">
        <v>11</v>
      </c>
      <c r="P1" s="12" t="s">
        <v>12</v>
      </c>
      <c r="Q1" s="12" t="s">
        <v>13</v>
      </c>
      <c r="R1" s="5" t="s">
        <v>390</v>
      </c>
      <c r="S1" s="5" t="s">
        <v>14</v>
      </c>
      <c r="T1" s="5" t="s">
        <v>15</v>
      </c>
      <c r="U1" s="5" t="s">
        <v>391</v>
      </c>
      <c r="V1" s="5" t="s">
        <v>16</v>
      </c>
      <c r="W1" s="5" t="s">
        <v>17</v>
      </c>
      <c r="X1" s="5" t="s">
        <v>18</v>
      </c>
      <c r="Y1" s="6" t="s">
        <v>796</v>
      </c>
      <c r="Z1" s="6" t="s">
        <v>795</v>
      </c>
    </row>
    <row r="2" spans="1:26" x14ac:dyDescent="0.25">
      <c r="A2" s="2" t="s">
        <v>392</v>
      </c>
      <c r="B2" s="8">
        <v>1</v>
      </c>
      <c r="C2" s="2" t="s">
        <v>22</v>
      </c>
      <c r="D2" s="8" t="s">
        <v>20</v>
      </c>
      <c r="E2" s="2">
        <v>16</v>
      </c>
      <c r="F2" s="2">
        <v>38.5</v>
      </c>
      <c r="G2" s="2">
        <v>73</v>
      </c>
      <c r="H2" s="2">
        <v>109</v>
      </c>
      <c r="I2" s="2">
        <v>66</v>
      </c>
      <c r="J2" s="2">
        <v>78</v>
      </c>
      <c r="K2" s="2">
        <v>35</v>
      </c>
      <c r="L2" s="2">
        <v>3740</v>
      </c>
      <c r="M2" s="2">
        <v>0</v>
      </c>
      <c r="N2" s="2">
        <v>1</v>
      </c>
      <c r="O2" s="2">
        <v>1</v>
      </c>
      <c r="P2" s="2">
        <v>0</v>
      </c>
      <c r="Q2" s="2">
        <v>0</v>
      </c>
      <c r="R2" s="2">
        <v>17</v>
      </c>
      <c r="S2" s="2">
        <v>0</v>
      </c>
      <c r="T2" s="2">
        <v>0</v>
      </c>
      <c r="U2" s="2">
        <v>4</v>
      </c>
      <c r="V2" s="2">
        <v>0</v>
      </c>
      <c r="W2" s="2">
        <v>0</v>
      </c>
      <c r="X2" s="2">
        <v>51</v>
      </c>
      <c r="Y2">
        <f>SUM(M2:Q2,S2:W2)</f>
        <v>6</v>
      </c>
      <c r="Z2">
        <f>(R2+X2) / (SUM(M2:Q2) + (SUM(S2:W2)))</f>
        <v>11.333333333333334</v>
      </c>
    </row>
    <row r="3" spans="1:26" x14ac:dyDescent="0.25">
      <c r="A3" s="2" t="s">
        <v>393</v>
      </c>
      <c r="B3" s="8">
        <v>2</v>
      </c>
      <c r="C3" s="2" t="s">
        <v>22</v>
      </c>
      <c r="D3" s="8" t="s">
        <v>20</v>
      </c>
      <c r="E3" s="2">
        <v>16</v>
      </c>
      <c r="F3" s="2">
        <v>32</v>
      </c>
      <c r="G3" s="2"/>
      <c r="H3" s="2">
        <v>122</v>
      </c>
      <c r="I3" s="2"/>
      <c r="J3" s="2">
        <v>64</v>
      </c>
      <c r="K3" s="2">
        <v>32</v>
      </c>
      <c r="L3" s="2">
        <v>6898</v>
      </c>
      <c r="M3" s="2"/>
      <c r="N3" s="2"/>
      <c r="O3" s="2"/>
      <c r="P3" s="2"/>
      <c r="Q3" s="2"/>
      <c r="R3" s="2"/>
      <c r="S3" s="2">
        <v>0</v>
      </c>
      <c r="T3" s="2">
        <v>4</v>
      </c>
      <c r="U3" s="2">
        <v>1</v>
      </c>
      <c r="V3" s="2">
        <v>0</v>
      </c>
      <c r="W3" s="2">
        <v>0</v>
      </c>
      <c r="X3" s="2">
        <v>16</v>
      </c>
      <c r="Y3">
        <f t="shared" ref="Y3:Y66" si="0">SUM(M3:Q3,S3:W3)</f>
        <v>5</v>
      </c>
      <c r="Z3">
        <f t="shared" ref="Z3:Z66" si="1">(R3+X3) / (SUM(M3:Q3) + (SUM(S3:W3)))</f>
        <v>3.2</v>
      </c>
    </row>
    <row r="4" spans="1:26" x14ac:dyDescent="0.25">
      <c r="A4" s="2" t="s">
        <v>394</v>
      </c>
      <c r="B4" s="8">
        <v>3</v>
      </c>
      <c r="C4" s="2" t="s">
        <v>22</v>
      </c>
      <c r="D4" s="8" t="s">
        <v>20</v>
      </c>
      <c r="E4" s="2">
        <v>12</v>
      </c>
      <c r="F4" s="2">
        <v>42</v>
      </c>
      <c r="G4" s="2"/>
      <c r="H4" s="2">
        <v>52</v>
      </c>
      <c r="I4" s="2"/>
      <c r="J4" s="2">
        <v>44</v>
      </c>
      <c r="K4" s="2">
        <v>34</v>
      </c>
      <c r="L4" s="2">
        <v>3001</v>
      </c>
      <c r="M4" s="2"/>
      <c r="N4" s="2"/>
      <c r="O4" s="2"/>
      <c r="P4" s="2"/>
      <c r="Q4" s="2"/>
      <c r="R4" s="2"/>
      <c r="S4" s="2">
        <v>0</v>
      </c>
      <c r="T4" s="2">
        <v>0</v>
      </c>
      <c r="U4" s="2">
        <v>2</v>
      </c>
      <c r="V4" s="2">
        <v>0</v>
      </c>
      <c r="W4" s="2">
        <v>0</v>
      </c>
      <c r="X4" s="2">
        <v>15</v>
      </c>
      <c r="Y4">
        <f t="shared" si="0"/>
        <v>2</v>
      </c>
      <c r="Z4">
        <f t="shared" si="1"/>
        <v>7.5</v>
      </c>
    </row>
    <row r="5" spans="1:26" x14ac:dyDescent="0.25">
      <c r="A5" s="2" t="s">
        <v>395</v>
      </c>
      <c r="B5" s="8">
        <v>4</v>
      </c>
      <c r="C5" s="2" t="s">
        <v>22</v>
      </c>
      <c r="D5" s="8" t="s">
        <v>20</v>
      </c>
      <c r="E5" s="2">
        <v>13</v>
      </c>
      <c r="F5" s="2">
        <v>24</v>
      </c>
      <c r="G5" s="2"/>
      <c r="H5" s="2">
        <v>74</v>
      </c>
      <c r="I5" s="2"/>
      <c r="J5" s="2">
        <v>62</v>
      </c>
      <c r="K5" s="2">
        <v>34</v>
      </c>
      <c r="L5" s="2">
        <v>10406</v>
      </c>
      <c r="M5" s="2"/>
      <c r="N5" s="2"/>
      <c r="O5" s="2"/>
      <c r="P5" s="2"/>
      <c r="Q5" s="2"/>
      <c r="R5" s="2"/>
      <c r="S5" s="2">
        <v>0</v>
      </c>
      <c r="T5" s="2">
        <v>0</v>
      </c>
      <c r="U5" s="2">
        <v>1</v>
      </c>
      <c r="V5" s="2">
        <v>0</v>
      </c>
      <c r="W5" s="2">
        <v>0</v>
      </c>
      <c r="X5" s="2">
        <v>3</v>
      </c>
      <c r="Y5">
        <f t="shared" si="0"/>
        <v>1</v>
      </c>
      <c r="Z5">
        <f t="shared" si="1"/>
        <v>3</v>
      </c>
    </row>
    <row r="6" spans="1:26" x14ac:dyDescent="0.25">
      <c r="A6" s="2" t="s">
        <v>396</v>
      </c>
      <c r="B6" s="8">
        <v>5</v>
      </c>
      <c r="C6" s="2" t="s">
        <v>22</v>
      </c>
      <c r="D6" s="8" t="s">
        <v>20</v>
      </c>
      <c r="E6" s="2">
        <v>13</v>
      </c>
      <c r="F6" s="2">
        <v>31</v>
      </c>
      <c r="G6" s="2">
        <v>29</v>
      </c>
      <c r="H6" s="2">
        <v>128</v>
      </c>
      <c r="I6" s="2">
        <v>45</v>
      </c>
      <c r="J6" s="2">
        <v>60</v>
      </c>
      <c r="K6" s="2">
        <v>32</v>
      </c>
      <c r="L6" s="2">
        <v>8574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3</v>
      </c>
      <c r="U6" s="2">
        <v>1</v>
      </c>
      <c r="V6" s="2">
        <v>0</v>
      </c>
      <c r="W6" s="2">
        <v>0</v>
      </c>
      <c r="X6" s="2">
        <v>10</v>
      </c>
      <c r="Y6">
        <f t="shared" si="0"/>
        <v>5</v>
      </c>
      <c r="Z6">
        <f t="shared" si="1"/>
        <v>2.2000000000000002</v>
      </c>
    </row>
    <row r="7" spans="1:26" x14ac:dyDescent="0.25">
      <c r="A7" s="2" t="s">
        <v>397</v>
      </c>
      <c r="B7" s="8">
        <v>6</v>
      </c>
      <c r="C7" s="2" t="s">
        <v>22</v>
      </c>
      <c r="D7" s="8" t="s">
        <v>20</v>
      </c>
      <c r="E7" s="2">
        <v>17</v>
      </c>
      <c r="F7" s="2">
        <v>34</v>
      </c>
      <c r="G7" s="2"/>
      <c r="H7" s="2">
        <v>99</v>
      </c>
      <c r="I7" s="2"/>
      <c r="J7" s="2">
        <v>68</v>
      </c>
      <c r="K7" s="2">
        <v>34</v>
      </c>
      <c r="L7" s="2" t="s">
        <v>21</v>
      </c>
      <c r="M7" s="2"/>
      <c r="N7" s="2"/>
      <c r="O7" s="2"/>
      <c r="P7" s="2"/>
      <c r="Q7" s="2"/>
      <c r="R7" s="2"/>
      <c r="S7" s="2">
        <v>0</v>
      </c>
      <c r="T7" s="2">
        <v>1</v>
      </c>
      <c r="U7" s="2">
        <v>1</v>
      </c>
      <c r="V7" s="2">
        <v>1</v>
      </c>
      <c r="W7" s="2">
        <v>0</v>
      </c>
      <c r="X7" s="2">
        <v>5</v>
      </c>
      <c r="Y7">
        <f t="shared" si="0"/>
        <v>3</v>
      </c>
      <c r="Z7">
        <f t="shared" si="1"/>
        <v>1.6666666666666667</v>
      </c>
    </row>
    <row r="8" spans="1:26" x14ac:dyDescent="0.25">
      <c r="A8" s="2" t="s">
        <v>400</v>
      </c>
      <c r="B8" s="8">
        <v>7</v>
      </c>
      <c r="C8" s="2" t="s">
        <v>22</v>
      </c>
      <c r="D8" s="8" t="s">
        <v>20</v>
      </c>
      <c r="E8" s="2">
        <v>13</v>
      </c>
      <c r="F8" s="2">
        <v>24</v>
      </c>
      <c r="G8" s="2"/>
      <c r="H8" s="2">
        <v>68</v>
      </c>
      <c r="I8" s="2"/>
      <c r="J8" s="2">
        <v>45</v>
      </c>
      <c r="K8" s="2">
        <v>34</v>
      </c>
      <c r="L8" s="2" t="s">
        <v>21</v>
      </c>
      <c r="M8" s="2"/>
      <c r="N8" s="2"/>
      <c r="O8" s="2"/>
      <c r="P8" s="2"/>
      <c r="Q8" s="2"/>
      <c r="R8" s="2"/>
      <c r="S8" s="2">
        <v>0</v>
      </c>
      <c r="T8" s="2">
        <v>0</v>
      </c>
      <c r="U8" s="2">
        <v>2</v>
      </c>
      <c r="V8" s="2">
        <v>0</v>
      </c>
      <c r="W8" s="2">
        <v>0</v>
      </c>
      <c r="X8" s="2">
        <v>19</v>
      </c>
      <c r="Y8">
        <f t="shared" si="0"/>
        <v>2</v>
      </c>
      <c r="Z8">
        <f t="shared" si="1"/>
        <v>9.5</v>
      </c>
    </row>
    <row r="9" spans="1:26" x14ac:dyDescent="0.25">
      <c r="A9" s="2" t="s">
        <v>403</v>
      </c>
      <c r="B9" s="8">
        <v>8</v>
      </c>
      <c r="C9" s="2" t="s">
        <v>22</v>
      </c>
      <c r="D9" s="8" t="s">
        <v>20</v>
      </c>
      <c r="E9" s="2">
        <v>12.5</v>
      </c>
      <c r="F9" s="2">
        <v>36</v>
      </c>
      <c r="G9" s="2">
        <v>54</v>
      </c>
      <c r="H9" s="2">
        <v>108</v>
      </c>
      <c r="I9" s="2">
        <v>56</v>
      </c>
      <c r="J9" s="2">
        <v>65</v>
      </c>
      <c r="K9" s="2">
        <v>33</v>
      </c>
      <c r="L9" s="2">
        <v>4507</v>
      </c>
      <c r="M9" s="2">
        <v>0</v>
      </c>
      <c r="N9" s="2">
        <v>2</v>
      </c>
      <c r="O9" s="2">
        <v>3</v>
      </c>
      <c r="P9" s="2">
        <v>0</v>
      </c>
      <c r="Q9" s="2">
        <v>0</v>
      </c>
      <c r="R9" s="2">
        <v>13</v>
      </c>
      <c r="S9" s="2">
        <v>0</v>
      </c>
      <c r="T9" s="2">
        <v>4</v>
      </c>
      <c r="U9" s="2">
        <v>2</v>
      </c>
      <c r="V9" s="2">
        <v>1</v>
      </c>
      <c r="W9" s="2">
        <v>0</v>
      </c>
      <c r="X9" s="2">
        <v>27</v>
      </c>
      <c r="Y9">
        <f t="shared" si="0"/>
        <v>12</v>
      </c>
      <c r="Z9">
        <f t="shared" si="1"/>
        <v>3.3333333333333335</v>
      </c>
    </row>
    <row r="10" spans="1:26" x14ac:dyDescent="0.25">
      <c r="A10" s="2" t="s">
        <v>404</v>
      </c>
      <c r="B10" s="8">
        <v>9</v>
      </c>
      <c r="C10" s="2" t="s">
        <v>22</v>
      </c>
      <c r="D10" s="8" t="s">
        <v>20</v>
      </c>
      <c r="E10" s="2">
        <v>15</v>
      </c>
      <c r="F10" s="2">
        <v>35</v>
      </c>
      <c r="G10" s="2">
        <v>82</v>
      </c>
      <c r="H10" s="2">
        <v>160</v>
      </c>
      <c r="I10" s="2">
        <v>52</v>
      </c>
      <c r="J10" s="2">
        <v>59</v>
      </c>
      <c r="K10" s="2">
        <v>33</v>
      </c>
      <c r="L10" s="2">
        <v>20147</v>
      </c>
      <c r="M10" s="2">
        <v>1</v>
      </c>
      <c r="N10" s="2">
        <v>3</v>
      </c>
      <c r="O10" s="2">
        <v>1</v>
      </c>
      <c r="P10" s="2">
        <v>1</v>
      </c>
      <c r="Q10" s="2">
        <v>0</v>
      </c>
      <c r="R10" s="2">
        <v>38</v>
      </c>
      <c r="S10" s="2">
        <v>0</v>
      </c>
      <c r="T10" s="2">
        <v>3</v>
      </c>
      <c r="U10" s="2">
        <v>1</v>
      </c>
      <c r="V10" s="2">
        <v>0</v>
      </c>
      <c r="W10" s="2">
        <v>0</v>
      </c>
      <c r="X10" s="2">
        <v>14</v>
      </c>
      <c r="Y10">
        <f t="shared" si="0"/>
        <v>10</v>
      </c>
      <c r="Z10">
        <f t="shared" si="1"/>
        <v>5.2</v>
      </c>
    </row>
    <row r="11" spans="1:26" x14ac:dyDescent="0.25">
      <c r="A11" s="2" t="s">
        <v>405</v>
      </c>
      <c r="B11" s="8">
        <v>10</v>
      </c>
      <c r="C11" s="2" t="s">
        <v>22</v>
      </c>
      <c r="D11" s="8" t="s">
        <v>20</v>
      </c>
      <c r="E11" s="2">
        <v>13</v>
      </c>
      <c r="F11" s="2">
        <v>42</v>
      </c>
      <c r="G11" s="2">
        <v>53</v>
      </c>
      <c r="H11" s="2">
        <v>114</v>
      </c>
      <c r="I11" s="2">
        <v>64</v>
      </c>
      <c r="J11" s="2">
        <v>74</v>
      </c>
      <c r="K11" s="2">
        <v>34</v>
      </c>
      <c r="L11" s="2">
        <v>4883</v>
      </c>
      <c r="M11" s="2">
        <v>1</v>
      </c>
      <c r="N11" s="2">
        <v>0</v>
      </c>
      <c r="O11" s="2">
        <v>2</v>
      </c>
      <c r="P11" s="2">
        <v>0</v>
      </c>
      <c r="Q11" s="2">
        <v>0</v>
      </c>
      <c r="R11" s="2">
        <v>3</v>
      </c>
      <c r="S11" s="2">
        <v>0</v>
      </c>
      <c r="T11" s="2">
        <v>7</v>
      </c>
      <c r="U11" s="2">
        <v>0</v>
      </c>
      <c r="V11" s="2">
        <v>0</v>
      </c>
      <c r="W11" s="2">
        <v>0</v>
      </c>
      <c r="X11" s="2">
        <v>13</v>
      </c>
      <c r="Y11">
        <f t="shared" si="0"/>
        <v>10</v>
      </c>
      <c r="Z11">
        <f t="shared" si="1"/>
        <v>1.6</v>
      </c>
    </row>
    <row r="12" spans="1:26" x14ac:dyDescent="0.25">
      <c r="A12" s="2" t="s">
        <v>406</v>
      </c>
      <c r="B12" s="8">
        <v>11</v>
      </c>
      <c r="C12" s="2" t="s">
        <v>22</v>
      </c>
      <c r="D12" s="8" t="s">
        <v>20</v>
      </c>
      <c r="E12" s="2">
        <v>15</v>
      </c>
      <c r="F12" s="2">
        <v>38.5</v>
      </c>
      <c r="G12" s="2">
        <v>23</v>
      </c>
      <c r="H12" s="2">
        <v>140</v>
      </c>
      <c r="I12" s="2">
        <v>43</v>
      </c>
      <c r="J12" s="2">
        <v>58</v>
      </c>
      <c r="K12" s="2">
        <v>33</v>
      </c>
      <c r="L12" s="2">
        <v>18113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2</v>
      </c>
      <c r="S12" s="2">
        <v>0</v>
      </c>
      <c r="T12" s="2">
        <v>4</v>
      </c>
      <c r="U12" s="2">
        <v>2</v>
      </c>
      <c r="V12" s="2">
        <v>0</v>
      </c>
      <c r="W12" s="2">
        <v>0</v>
      </c>
      <c r="X12" s="2">
        <v>26</v>
      </c>
      <c r="Y12">
        <f t="shared" si="0"/>
        <v>7</v>
      </c>
      <c r="Z12">
        <f t="shared" si="1"/>
        <v>4</v>
      </c>
    </row>
    <row r="13" spans="1:26" x14ac:dyDescent="0.25">
      <c r="A13" s="2" t="s">
        <v>407</v>
      </c>
      <c r="B13" s="8">
        <v>12</v>
      </c>
      <c r="C13" s="2" t="s">
        <v>22</v>
      </c>
      <c r="D13" s="8" t="s">
        <v>20</v>
      </c>
      <c r="E13" s="2">
        <v>13</v>
      </c>
      <c r="F13" s="2">
        <v>22.5</v>
      </c>
      <c r="G13" s="2">
        <v>39</v>
      </c>
      <c r="H13" s="2">
        <v>72</v>
      </c>
      <c r="I13" s="2">
        <v>52</v>
      </c>
      <c r="J13" s="2">
        <v>61</v>
      </c>
      <c r="K13" s="2">
        <v>33</v>
      </c>
      <c r="L13" s="2">
        <v>12256</v>
      </c>
      <c r="M13" s="2">
        <v>1</v>
      </c>
      <c r="N13" s="2">
        <v>0</v>
      </c>
      <c r="O13" s="2">
        <v>1</v>
      </c>
      <c r="P13" s="2">
        <v>0</v>
      </c>
      <c r="Q13" s="2">
        <v>0</v>
      </c>
      <c r="R13" s="2">
        <v>8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23</v>
      </c>
      <c r="Y13">
        <f t="shared" si="0"/>
        <v>3</v>
      </c>
      <c r="Z13">
        <f t="shared" si="1"/>
        <v>10.333333333333334</v>
      </c>
    </row>
    <row r="14" spans="1:26" x14ac:dyDescent="0.25">
      <c r="A14" s="2" t="s">
        <v>408</v>
      </c>
      <c r="B14" s="8">
        <v>13</v>
      </c>
      <c r="C14" s="2" t="s">
        <v>22</v>
      </c>
      <c r="D14" s="8" t="s">
        <v>20</v>
      </c>
      <c r="E14" s="2">
        <v>13</v>
      </c>
      <c r="F14" s="2">
        <v>36</v>
      </c>
      <c r="G14" s="2"/>
      <c r="H14" s="2">
        <v>119</v>
      </c>
      <c r="I14" s="2"/>
      <c r="J14" s="2">
        <v>57</v>
      </c>
      <c r="K14" s="2">
        <v>34</v>
      </c>
      <c r="L14" s="2">
        <v>22171</v>
      </c>
      <c r="M14" s="2"/>
      <c r="N14" s="2"/>
      <c r="O14" s="2"/>
      <c r="P14" s="2"/>
      <c r="Q14" s="2"/>
      <c r="R14" s="2"/>
      <c r="S14" s="2">
        <v>0</v>
      </c>
      <c r="T14" s="2">
        <v>4</v>
      </c>
      <c r="U14" s="2">
        <v>0</v>
      </c>
      <c r="V14" s="2">
        <v>0</v>
      </c>
      <c r="W14" s="2">
        <v>0</v>
      </c>
      <c r="X14" s="2">
        <v>18</v>
      </c>
      <c r="Y14">
        <f t="shared" si="0"/>
        <v>4</v>
      </c>
      <c r="Z14">
        <f t="shared" si="1"/>
        <v>4.5</v>
      </c>
    </row>
    <row r="15" spans="1:26" x14ac:dyDescent="0.25">
      <c r="A15" s="2" t="s">
        <v>409</v>
      </c>
      <c r="B15" s="8">
        <v>14</v>
      </c>
      <c r="C15" s="2" t="s">
        <v>22</v>
      </c>
      <c r="D15" s="8" t="s">
        <v>20</v>
      </c>
      <c r="E15" s="2">
        <v>10</v>
      </c>
      <c r="F15" s="2">
        <v>37.5</v>
      </c>
      <c r="G15" s="2">
        <v>16</v>
      </c>
      <c r="H15" s="2">
        <v>56</v>
      </c>
      <c r="I15" s="2">
        <v>37</v>
      </c>
      <c r="J15" s="2">
        <v>53</v>
      </c>
      <c r="K15" s="2">
        <v>33</v>
      </c>
      <c r="L15" s="2">
        <v>5219</v>
      </c>
      <c r="M15" s="2">
        <v>1</v>
      </c>
      <c r="N15" s="2">
        <v>0</v>
      </c>
      <c r="O15" s="2">
        <v>1</v>
      </c>
      <c r="P15" s="2">
        <v>1</v>
      </c>
      <c r="Q15" s="2">
        <v>0</v>
      </c>
      <c r="R15" s="2">
        <v>4</v>
      </c>
      <c r="S15" s="2">
        <v>0</v>
      </c>
      <c r="T15" s="2">
        <v>1</v>
      </c>
      <c r="U15" s="2">
        <v>1</v>
      </c>
      <c r="V15" s="2">
        <v>0</v>
      </c>
      <c r="W15" s="2">
        <v>0</v>
      </c>
      <c r="X15" s="2">
        <v>4</v>
      </c>
      <c r="Y15">
        <f t="shared" si="0"/>
        <v>5</v>
      </c>
      <c r="Z15">
        <f t="shared" si="1"/>
        <v>1.6</v>
      </c>
    </row>
    <row r="16" spans="1:26" x14ac:dyDescent="0.25">
      <c r="A16" s="2" t="s">
        <v>410</v>
      </c>
      <c r="B16" s="8">
        <v>15</v>
      </c>
      <c r="C16" s="2" t="s">
        <v>22</v>
      </c>
      <c r="D16" s="8" t="s">
        <v>20</v>
      </c>
      <c r="E16" s="2">
        <v>17</v>
      </c>
      <c r="F16" s="2">
        <v>36</v>
      </c>
      <c r="G16" s="2"/>
      <c r="H16" s="2">
        <v>73</v>
      </c>
      <c r="I16" s="2"/>
      <c r="J16" s="2">
        <v>73</v>
      </c>
      <c r="K16" s="2">
        <v>34</v>
      </c>
      <c r="L16" s="2">
        <v>23705</v>
      </c>
      <c r="M16" s="2"/>
      <c r="N16" s="2"/>
      <c r="O16" s="2"/>
      <c r="P16" s="2"/>
      <c r="Q16" s="2"/>
      <c r="R16" s="2"/>
      <c r="S16" s="2">
        <v>0</v>
      </c>
      <c r="T16" s="2">
        <v>0</v>
      </c>
      <c r="U16" s="2">
        <v>3</v>
      </c>
      <c r="V16" s="2">
        <v>0</v>
      </c>
      <c r="W16" s="2">
        <v>0</v>
      </c>
      <c r="X16" s="2">
        <v>9</v>
      </c>
      <c r="Y16">
        <f t="shared" si="0"/>
        <v>3</v>
      </c>
      <c r="Z16">
        <f t="shared" si="1"/>
        <v>3</v>
      </c>
    </row>
    <row r="17" spans="1:26" x14ac:dyDescent="0.25">
      <c r="A17" s="2" t="s">
        <v>411</v>
      </c>
      <c r="B17" s="8">
        <v>16</v>
      </c>
      <c r="C17" s="2" t="s">
        <v>22</v>
      </c>
      <c r="D17" s="8" t="s">
        <v>20</v>
      </c>
      <c r="E17" s="2">
        <v>10</v>
      </c>
      <c r="F17" s="2">
        <v>21</v>
      </c>
      <c r="G17" s="2">
        <v>31</v>
      </c>
      <c r="H17" s="2">
        <v>97</v>
      </c>
      <c r="I17" s="2">
        <v>37</v>
      </c>
      <c r="J17" s="2">
        <v>47</v>
      </c>
      <c r="K17" s="2">
        <v>31</v>
      </c>
      <c r="L17" s="2">
        <v>4819</v>
      </c>
      <c r="M17" s="2">
        <v>0</v>
      </c>
      <c r="N17" s="2">
        <v>1</v>
      </c>
      <c r="O17" s="2">
        <v>1</v>
      </c>
      <c r="P17" s="2">
        <v>1</v>
      </c>
      <c r="Q17" s="2">
        <v>0</v>
      </c>
      <c r="R17" s="2">
        <v>10</v>
      </c>
      <c r="S17" s="2">
        <v>0</v>
      </c>
      <c r="T17" s="2">
        <v>1</v>
      </c>
      <c r="U17" s="2">
        <v>3</v>
      </c>
      <c r="V17" s="2">
        <v>0</v>
      </c>
      <c r="W17" s="2">
        <v>0</v>
      </c>
      <c r="X17" s="2">
        <v>21</v>
      </c>
      <c r="Y17">
        <f t="shared" si="0"/>
        <v>7</v>
      </c>
      <c r="Z17">
        <f t="shared" si="1"/>
        <v>4.4285714285714288</v>
      </c>
    </row>
    <row r="18" spans="1:26" x14ac:dyDescent="0.25">
      <c r="A18" s="2" t="s">
        <v>412</v>
      </c>
      <c r="B18" s="8">
        <v>17</v>
      </c>
      <c r="C18" s="2" t="s">
        <v>22</v>
      </c>
      <c r="D18" s="8" t="s">
        <v>20</v>
      </c>
      <c r="E18" s="2">
        <v>14</v>
      </c>
      <c r="F18" s="2">
        <v>42</v>
      </c>
      <c r="G18" s="2">
        <v>21</v>
      </c>
      <c r="H18" s="2">
        <v>81</v>
      </c>
      <c r="I18" s="2">
        <v>56</v>
      </c>
      <c r="J18" s="2">
        <v>72</v>
      </c>
      <c r="K18" s="2">
        <v>33</v>
      </c>
      <c r="L18" s="2" t="s">
        <v>21</v>
      </c>
      <c r="M18" s="2">
        <v>1</v>
      </c>
      <c r="N18" s="2">
        <v>0</v>
      </c>
      <c r="O18" s="2">
        <v>1</v>
      </c>
      <c r="P18" s="2">
        <v>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0</v>
      </c>
      <c r="W18" s="2">
        <v>0</v>
      </c>
      <c r="X18" s="2">
        <v>2</v>
      </c>
      <c r="Y18">
        <f t="shared" si="0"/>
        <v>3</v>
      </c>
      <c r="Z18">
        <f t="shared" si="1"/>
        <v>1.3333333333333333</v>
      </c>
    </row>
    <row r="19" spans="1:26" x14ac:dyDescent="0.25">
      <c r="A19" s="2" t="s">
        <v>413</v>
      </c>
      <c r="B19" s="8">
        <v>18</v>
      </c>
      <c r="C19" s="2" t="s">
        <v>22</v>
      </c>
      <c r="D19" s="8" t="s">
        <v>20</v>
      </c>
      <c r="E19" s="2">
        <v>13</v>
      </c>
      <c r="F19" s="2">
        <v>26</v>
      </c>
      <c r="G19" s="2">
        <v>34</v>
      </c>
      <c r="H19" s="2">
        <v>67</v>
      </c>
      <c r="I19" s="2">
        <v>72</v>
      </c>
      <c r="J19" s="2">
        <v>84</v>
      </c>
      <c r="K19" s="2">
        <v>33</v>
      </c>
      <c r="L19" s="2">
        <v>2545</v>
      </c>
      <c r="M19" s="2">
        <v>0</v>
      </c>
      <c r="N19" s="2">
        <v>0</v>
      </c>
      <c r="O19" s="2">
        <v>2</v>
      </c>
      <c r="P19" s="2">
        <v>0</v>
      </c>
      <c r="Q19" s="2">
        <v>0</v>
      </c>
      <c r="R19" s="2">
        <v>14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39</v>
      </c>
      <c r="Y19">
        <f t="shared" si="0"/>
        <v>3</v>
      </c>
      <c r="Z19">
        <f t="shared" si="1"/>
        <v>17.666666666666668</v>
      </c>
    </row>
    <row r="20" spans="1:26" x14ac:dyDescent="0.25">
      <c r="A20" s="2" t="s">
        <v>414</v>
      </c>
      <c r="B20" s="8">
        <v>19</v>
      </c>
      <c r="C20" s="2" t="s">
        <v>22</v>
      </c>
      <c r="D20" s="8" t="s">
        <v>20</v>
      </c>
      <c r="E20" s="2">
        <v>14</v>
      </c>
      <c r="F20" s="2">
        <v>34.5</v>
      </c>
      <c r="G20" s="2">
        <v>28</v>
      </c>
      <c r="H20" s="2">
        <v>57</v>
      </c>
      <c r="I20" s="2">
        <v>62</v>
      </c>
      <c r="J20" s="2">
        <v>73</v>
      </c>
      <c r="K20" s="2">
        <v>35</v>
      </c>
      <c r="L20" s="2">
        <v>1874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3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5</v>
      </c>
      <c r="Y20">
        <f t="shared" si="0"/>
        <v>3</v>
      </c>
      <c r="Z20">
        <f t="shared" si="1"/>
        <v>2.6666666666666665</v>
      </c>
    </row>
    <row r="21" spans="1:26" x14ac:dyDescent="0.25">
      <c r="A21" s="2" t="s">
        <v>415</v>
      </c>
      <c r="B21" s="8">
        <v>20</v>
      </c>
      <c r="C21" s="2" t="s">
        <v>22</v>
      </c>
      <c r="D21" s="8" t="s">
        <v>20</v>
      </c>
      <c r="E21" s="2">
        <v>18</v>
      </c>
      <c r="F21" s="2">
        <v>37</v>
      </c>
      <c r="G21" s="2">
        <v>45</v>
      </c>
      <c r="H21" s="2">
        <v>104</v>
      </c>
      <c r="I21" s="2">
        <v>65</v>
      </c>
      <c r="J21" s="2">
        <v>72</v>
      </c>
      <c r="K21" s="2">
        <v>33</v>
      </c>
      <c r="L21" s="2">
        <v>6844</v>
      </c>
      <c r="M21" s="2">
        <v>1</v>
      </c>
      <c r="N21" s="2">
        <v>2</v>
      </c>
      <c r="O21" s="2">
        <v>1</v>
      </c>
      <c r="P21" s="2">
        <v>0</v>
      </c>
      <c r="Q21" s="2">
        <v>0</v>
      </c>
      <c r="R21" s="2">
        <v>20</v>
      </c>
      <c r="S21" s="2">
        <v>0</v>
      </c>
      <c r="T21" s="2">
        <v>2</v>
      </c>
      <c r="U21" s="2">
        <v>3</v>
      </c>
      <c r="V21" s="2">
        <v>0</v>
      </c>
      <c r="W21" s="2">
        <v>0</v>
      </c>
      <c r="X21" s="2">
        <v>14</v>
      </c>
      <c r="Y21">
        <f t="shared" si="0"/>
        <v>9</v>
      </c>
      <c r="Z21">
        <f t="shared" si="1"/>
        <v>3.7777777777777777</v>
      </c>
    </row>
    <row r="22" spans="1:26" x14ac:dyDescent="0.25">
      <c r="A22" s="2" t="s">
        <v>459</v>
      </c>
      <c r="B22" s="8">
        <v>1</v>
      </c>
      <c r="C22" s="2" t="s">
        <v>19</v>
      </c>
      <c r="D22" s="8" t="s">
        <v>20</v>
      </c>
      <c r="E22" s="2">
        <v>12</v>
      </c>
      <c r="F22" s="2">
        <v>27</v>
      </c>
      <c r="G22" s="2">
        <v>30</v>
      </c>
      <c r="H22" s="2">
        <v>102</v>
      </c>
      <c r="I22" s="2">
        <v>56</v>
      </c>
      <c r="J22" s="2">
        <v>61</v>
      </c>
      <c r="K22" s="2">
        <v>33</v>
      </c>
      <c r="L22" s="2">
        <v>4356</v>
      </c>
      <c r="M22" s="2">
        <v>0</v>
      </c>
      <c r="N22" s="2">
        <v>0</v>
      </c>
      <c r="O22" s="2">
        <v>3</v>
      </c>
      <c r="P22" s="2">
        <v>0</v>
      </c>
      <c r="Q22" s="2">
        <v>0</v>
      </c>
      <c r="R22" s="2">
        <v>11</v>
      </c>
      <c r="S22" s="2">
        <v>0</v>
      </c>
      <c r="T22" s="2">
        <v>2</v>
      </c>
      <c r="U22" s="2">
        <v>1</v>
      </c>
      <c r="V22" s="2">
        <v>0</v>
      </c>
      <c r="W22" s="2">
        <v>0</v>
      </c>
      <c r="X22" s="2">
        <v>15</v>
      </c>
      <c r="Y22">
        <f t="shared" si="0"/>
        <v>6</v>
      </c>
      <c r="Z22">
        <f t="shared" si="1"/>
        <v>4.333333333333333</v>
      </c>
    </row>
    <row r="23" spans="1:26" x14ac:dyDescent="0.25">
      <c r="A23" s="2" t="s">
        <v>460</v>
      </c>
      <c r="B23" s="8">
        <v>2</v>
      </c>
      <c r="C23" s="2" t="s">
        <v>19</v>
      </c>
      <c r="D23" s="8" t="s">
        <v>20</v>
      </c>
      <c r="E23" s="2">
        <v>10</v>
      </c>
      <c r="F23" s="2">
        <v>19.5</v>
      </c>
      <c r="G23" s="2">
        <v>35</v>
      </c>
      <c r="H23" s="2">
        <v>59</v>
      </c>
      <c r="I23" s="2">
        <v>52</v>
      </c>
      <c r="J23" s="2">
        <v>67</v>
      </c>
      <c r="K23" s="2">
        <v>33</v>
      </c>
      <c r="L23" s="2">
        <v>6384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>
        <v>3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1</v>
      </c>
      <c r="Y23">
        <f t="shared" si="0"/>
        <v>2</v>
      </c>
      <c r="Z23">
        <f t="shared" si="1"/>
        <v>2</v>
      </c>
    </row>
    <row r="24" spans="1:26" x14ac:dyDescent="0.25">
      <c r="A24" s="2" t="s">
        <v>461</v>
      </c>
      <c r="B24" s="8">
        <v>3</v>
      </c>
      <c r="C24" s="2" t="s">
        <v>19</v>
      </c>
      <c r="D24" s="8" t="s">
        <v>20</v>
      </c>
      <c r="E24" s="2">
        <v>13</v>
      </c>
      <c r="F24" s="2">
        <v>33</v>
      </c>
      <c r="G24" s="2">
        <v>53</v>
      </c>
      <c r="H24" s="2">
        <v>81</v>
      </c>
      <c r="I24" s="2">
        <v>60</v>
      </c>
      <c r="J24" s="2">
        <v>76</v>
      </c>
      <c r="K24" s="2">
        <v>35</v>
      </c>
      <c r="L24" s="2">
        <v>11528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2</v>
      </c>
      <c r="U24" s="2">
        <v>0</v>
      </c>
      <c r="V24" s="2">
        <v>0</v>
      </c>
      <c r="W24" s="2">
        <v>0</v>
      </c>
      <c r="X24" s="2">
        <v>10</v>
      </c>
      <c r="Y24">
        <f t="shared" si="0"/>
        <v>3</v>
      </c>
      <c r="Z24">
        <f t="shared" si="1"/>
        <v>3.6666666666666665</v>
      </c>
    </row>
    <row r="25" spans="1:26" x14ac:dyDescent="0.25">
      <c r="A25" s="2" t="s">
        <v>462</v>
      </c>
      <c r="B25" s="8">
        <v>4</v>
      </c>
      <c r="C25" s="2" t="s">
        <v>19</v>
      </c>
      <c r="D25" s="8" t="s">
        <v>20</v>
      </c>
      <c r="E25" s="2">
        <v>10.5</v>
      </c>
      <c r="F25" s="2">
        <v>26</v>
      </c>
      <c r="G25" s="2">
        <v>40</v>
      </c>
      <c r="H25" s="2">
        <v>81</v>
      </c>
      <c r="I25" s="2">
        <v>63</v>
      </c>
      <c r="J25" s="2">
        <v>80</v>
      </c>
      <c r="K25" s="2">
        <v>38</v>
      </c>
      <c r="L25" s="2">
        <v>5188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5</v>
      </c>
      <c r="S25" s="2">
        <v>1</v>
      </c>
      <c r="T25" s="2">
        <v>1</v>
      </c>
      <c r="U25" s="2">
        <v>3</v>
      </c>
      <c r="V25" s="2">
        <v>0</v>
      </c>
      <c r="W25" s="2">
        <v>0</v>
      </c>
      <c r="X25" s="2">
        <v>10</v>
      </c>
      <c r="Y25">
        <f t="shared" si="0"/>
        <v>6</v>
      </c>
      <c r="Z25">
        <f t="shared" si="1"/>
        <v>2.5</v>
      </c>
    </row>
    <row r="26" spans="1:26" x14ac:dyDescent="0.25">
      <c r="A26" s="2" t="s">
        <v>463</v>
      </c>
      <c r="B26" s="8">
        <v>5</v>
      </c>
      <c r="C26" s="2" t="s">
        <v>19</v>
      </c>
      <c r="D26" s="8" t="s">
        <v>20</v>
      </c>
      <c r="E26" s="2">
        <v>10.5</v>
      </c>
      <c r="F26" s="2">
        <v>34.5</v>
      </c>
      <c r="G26" s="2">
        <v>24</v>
      </c>
      <c r="H26" s="2">
        <v>69</v>
      </c>
      <c r="I26" s="2">
        <v>53</v>
      </c>
      <c r="J26" s="2">
        <v>52</v>
      </c>
      <c r="K26" s="2">
        <v>33</v>
      </c>
      <c r="L26" s="2">
        <v>7149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  <c r="R26" s="2">
        <v>4</v>
      </c>
      <c r="S26" s="2">
        <v>0</v>
      </c>
      <c r="T26" s="2">
        <v>3</v>
      </c>
      <c r="U26" s="2">
        <v>2</v>
      </c>
      <c r="V26" s="2">
        <v>0</v>
      </c>
      <c r="W26" s="2">
        <v>0</v>
      </c>
      <c r="X26" s="2">
        <v>15</v>
      </c>
      <c r="Y26">
        <f t="shared" si="0"/>
        <v>7</v>
      </c>
      <c r="Z26">
        <f t="shared" si="1"/>
        <v>2.7142857142857144</v>
      </c>
    </row>
    <row r="27" spans="1:26" x14ac:dyDescent="0.25">
      <c r="A27" s="2" t="s">
        <v>464</v>
      </c>
      <c r="B27" s="8">
        <v>6</v>
      </c>
      <c r="C27" s="2" t="s">
        <v>19</v>
      </c>
      <c r="D27" s="8" t="s">
        <v>20</v>
      </c>
      <c r="E27" s="2">
        <v>13</v>
      </c>
      <c r="F27" s="2">
        <v>32</v>
      </c>
      <c r="G27" s="2"/>
      <c r="H27" s="2">
        <v>53</v>
      </c>
      <c r="I27" s="2"/>
      <c r="J27" s="2">
        <v>78</v>
      </c>
      <c r="K27" s="2">
        <v>40</v>
      </c>
      <c r="L27" s="2" t="s">
        <v>21</v>
      </c>
      <c r="M27" s="2"/>
      <c r="N27" s="2"/>
      <c r="O27" s="2"/>
      <c r="P27" s="2"/>
      <c r="Q27" s="2"/>
      <c r="R27" s="2"/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1</v>
      </c>
      <c r="Y27">
        <f t="shared" si="0"/>
        <v>1</v>
      </c>
      <c r="Z27">
        <f t="shared" si="1"/>
        <v>1</v>
      </c>
    </row>
    <row r="28" spans="1:26" x14ac:dyDescent="0.25">
      <c r="A28" s="2" t="s">
        <v>466</v>
      </c>
      <c r="B28" s="8">
        <v>7</v>
      </c>
      <c r="C28" s="2" t="s">
        <v>19</v>
      </c>
      <c r="D28" s="8" t="s">
        <v>20</v>
      </c>
      <c r="E28" s="2">
        <v>14</v>
      </c>
      <c r="F28" s="2">
        <v>38</v>
      </c>
      <c r="G28" s="2"/>
      <c r="H28" s="2">
        <v>85</v>
      </c>
      <c r="I28" s="2"/>
      <c r="J28" s="2">
        <v>53</v>
      </c>
      <c r="K28" s="2">
        <v>34</v>
      </c>
      <c r="L28" s="2">
        <v>7035</v>
      </c>
      <c r="M28" s="2"/>
      <c r="N28" s="2"/>
      <c r="O28" s="2"/>
      <c r="P28" s="2"/>
      <c r="Q28" s="2"/>
      <c r="R28" s="2"/>
      <c r="S28" s="2">
        <v>1</v>
      </c>
      <c r="T28" s="2">
        <v>4</v>
      </c>
      <c r="U28" s="2">
        <v>1</v>
      </c>
      <c r="V28" s="2">
        <v>0</v>
      </c>
      <c r="W28" s="2">
        <v>0</v>
      </c>
      <c r="X28" s="2">
        <v>8</v>
      </c>
      <c r="Y28">
        <f t="shared" si="0"/>
        <v>6</v>
      </c>
      <c r="Z28">
        <f t="shared" si="1"/>
        <v>1.3333333333333333</v>
      </c>
    </row>
    <row r="29" spans="1:26" x14ac:dyDescent="0.25">
      <c r="A29" s="2" t="s">
        <v>467</v>
      </c>
      <c r="B29" s="8">
        <v>8</v>
      </c>
      <c r="C29" s="2" t="s">
        <v>19</v>
      </c>
      <c r="D29" s="8" t="s">
        <v>20</v>
      </c>
      <c r="E29" s="2">
        <v>10.5</v>
      </c>
      <c r="F29" s="2">
        <v>29</v>
      </c>
      <c r="G29" s="2">
        <v>45</v>
      </c>
      <c r="H29" s="2">
        <v>30</v>
      </c>
      <c r="I29" s="2">
        <v>45</v>
      </c>
      <c r="J29" s="2">
        <v>41</v>
      </c>
      <c r="K29" s="2">
        <v>32</v>
      </c>
      <c r="L29" s="2">
        <v>6134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3</v>
      </c>
      <c r="S29" s="2">
        <v>0</v>
      </c>
      <c r="T29" s="2">
        <v>3</v>
      </c>
      <c r="U29" s="2">
        <v>1</v>
      </c>
      <c r="V29" s="2">
        <v>0</v>
      </c>
      <c r="W29" s="2">
        <v>0</v>
      </c>
      <c r="X29" s="2">
        <v>6</v>
      </c>
      <c r="Y29">
        <f t="shared" si="0"/>
        <v>5</v>
      </c>
      <c r="Z29">
        <f t="shared" si="1"/>
        <v>1.8</v>
      </c>
    </row>
    <row r="30" spans="1:26" x14ac:dyDescent="0.25">
      <c r="A30" s="2" t="s">
        <v>468</v>
      </c>
      <c r="B30" s="8">
        <v>9</v>
      </c>
      <c r="C30" s="2" t="s">
        <v>19</v>
      </c>
      <c r="D30" s="8" t="s">
        <v>20</v>
      </c>
      <c r="E30" s="2">
        <v>14</v>
      </c>
      <c r="F30" s="2">
        <v>36</v>
      </c>
      <c r="G30" s="2"/>
      <c r="H30" s="2">
        <v>78</v>
      </c>
      <c r="I30" s="2"/>
      <c r="J30" s="2">
        <v>60</v>
      </c>
      <c r="K30" s="2">
        <v>34</v>
      </c>
      <c r="L30" s="2">
        <v>6202</v>
      </c>
      <c r="M30" s="2"/>
      <c r="N30" s="2"/>
      <c r="O30" s="2"/>
      <c r="P30" s="2"/>
      <c r="Q30" s="2"/>
      <c r="R30" s="2"/>
      <c r="S30" s="2">
        <v>1</v>
      </c>
      <c r="T30" s="2">
        <v>6</v>
      </c>
      <c r="U30" s="2">
        <v>0</v>
      </c>
      <c r="V30" s="2">
        <v>0</v>
      </c>
      <c r="W30" s="2">
        <v>0</v>
      </c>
      <c r="X30" s="2">
        <v>11</v>
      </c>
      <c r="Y30">
        <f t="shared" si="0"/>
        <v>7</v>
      </c>
      <c r="Z30">
        <f t="shared" si="1"/>
        <v>1.5714285714285714</v>
      </c>
    </row>
    <row r="31" spans="1:26" x14ac:dyDescent="0.25">
      <c r="A31" s="2" t="s">
        <v>469</v>
      </c>
      <c r="B31" s="8">
        <v>10</v>
      </c>
      <c r="C31" s="2" t="s">
        <v>19</v>
      </c>
      <c r="D31" s="8" t="s">
        <v>20</v>
      </c>
      <c r="E31" s="2">
        <v>10.5</v>
      </c>
      <c r="F31" s="2">
        <v>39</v>
      </c>
      <c r="G31" s="2">
        <v>47</v>
      </c>
      <c r="H31" s="2">
        <v>93</v>
      </c>
      <c r="I31" s="2">
        <v>52</v>
      </c>
      <c r="J31" s="2">
        <v>66</v>
      </c>
      <c r="K31" s="2">
        <v>38</v>
      </c>
      <c r="L31" s="2">
        <v>12446</v>
      </c>
      <c r="M31" s="2">
        <v>0</v>
      </c>
      <c r="N31" s="2">
        <v>4</v>
      </c>
      <c r="O31" s="2">
        <v>0</v>
      </c>
      <c r="P31" s="2">
        <v>0</v>
      </c>
      <c r="Q31" s="2">
        <v>0</v>
      </c>
      <c r="R31" s="2">
        <v>11</v>
      </c>
      <c r="S31" s="2">
        <v>0</v>
      </c>
      <c r="T31" s="2">
        <v>2</v>
      </c>
      <c r="U31" s="2">
        <v>1</v>
      </c>
      <c r="V31" s="2">
        <v>0</v>
      </c>
      <c r="W31" s="2">
        <v>0</v>
      </c>
      <c r="X31" s="2">
        <v>11</v>
      </c>
      <c r="Y31">
        <f t="shared" si="0"/>
        <v>7</v>
      </c>
      <c r="Z31">
        <f t="shared" si="1"/>
        <v>3.1428571428571428</v>
      </c>
    </row>
    <row r="32" spans="1:26" x14ac:dyDescent="0.25">
      <c r="A32" s="2" t="s">
        <v>470</v>
      </c>
      <c r="B32" s="8">
        <v>11</v>
      </c>
      <c r="C32" s="2" t="s">
        <v>19</v>
      </c>
      <c r="D32" s="8" t="s">
        <v>20</v>
      </c>
      <c r="E32" s="2">
        <v>11.5</v>
      </c>
      <c r="F32" s="2">
        <v>34.5</v>
      </c>
      <c r="G32" s="2">
        <v>41</v>
      </c>
      <c r="H32" s="2">
        <v>56</v>
      </c>
      <c r="I32" s="2">
        <v>61</v>
      </c>
      <c r="J32" s="2">
        <v>72</v>
      </c>
      <c r="K32" s="2">
        <v>38</v>
      </c>
      <c r="L32" s="2" t="s">
        <v>21</v>
      </c>
      <c r="M32" s="2">
        <v>1</v>
      </c>
      <c r="N32" s="2">
        <v>1</v>
      </c>
      <c r="O32" s="2">
        <v>1</v>
      </c>
      <c r="P32" s="2">
        <v>0</v>
      </c>
      <c r="Q32" s="2">
        <v>0</v>
      </c>
      <c r="R32" s="2">
        <v>6</v>
      </c>
      <c r="S32" s="2">
        <v>0</v>
      </c>
      <c r="T32" s="2">
        <v>1</v>
      </c>
      <c r="U32" s="2">
        <v>2</v>
      </c>
      <c r="V32" s="2">
        <v>0</v>
      </c>
      <c r="W32" s="2">
        <v>0</v>
      </c>
      <c r="X32" s="2">
        <v>5</v>
      </c>
      <c r="Y32">
        <f t="shared" si="0"/>
        <v>6</v>
      </c>
      <c r="Z32">
        <f t="shared" si="1"/>
        <v>1.8333333333333333</v>
      </c>
    </row>
    <row r="33" spans="1:26" x14ac:dyDescent="0.25">
      <c r="A33" s="2" t="s">
        <v>471</v>
      </c>
      <c r="B33" s="8">
        <v>12</v>
      </c>
      <c r="C33" s="2" t="s">
        <v>19</v>
      </c>
      <c r="D33" s="8" t="s">
        <v>20</v>
      </c>
      <c r="E33" s="2">
        <v>7</v>
      </c>
      <c r="F33" s="2">
        <v>28.5</v>
      </c>
      <c r="G33" s="2">
        <v>14</v>
      </c>
      <c r="H33" s="2">
        <v>43</v>
      </c>
      <c r="I33" s="2">
        <v>37</v>
      </c>
      <c r="J33" s="2">
        <v>28</v>
      </c>
      <c r="K33" s="2">
        <v>32</v>
      </c>
      <c r="L33" s="2">
        <v>2657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2</v>
      </c>
      <c r="S33" s="2">
        <v>0</v>
      </c>
      <c r="T33" s="2">
        <v>0</v>
      </c>
      <c r="U33" s="2">
        <v>2</v>
      </c>
      <c r="V33" s="2">
        <v>0</v>
      </c>
      <c r="W33" s="2">
        <v>0</v>
      </c>
      <c r="X33" s="2">
        <v>9</v>
      </c>
      <c r="Y33">
        <f t="shared" si="0"/>
        <v>3</v>
      </c>
      <c r="Z33">
        <f t="shared" si="1"/>
        <v>3.6666666666666665</v>
      </c>
    </row>
    <row r="34" spans="1:26" x14ac:dyDescent="0.25">
      <c r="A34" s="2" t="s">
        <v>472</v>
      </c>
      <c r="B34" s="8">
        <v>13</v>
      </c>
      <c r="C34" s="2" t="s">
        <v>19</v>
      </c>
      <c r="D34" s="8" t="s">
        <v>20</v>
      </c>
      <c r="E34" s="2">
        <v>10</v>
      </c>
      <c r="F34" s="2">
        <v>35</v>
      </c>
      <c r="G34" s="2">
        <v>17</v>
      </c>
      <c r="H34" s="2">
        <v>33</v>
      </c>
      <c r="I34" s="2">
        <v>40</v>
      </c>
      <c r="J34" s="2">
        <v>55</v>
      </c>
      <c r="K34" s="2">
        <v>32</v>
      </c>
      <c r="L34" s="2">
        <v>561</v>
      </c>
      <c r="M34" s="2">
        <v>0</v>
      </c>
      <c r="N34" s="2">
        <v>0</v>
      </c>
      <c r="O34" s="2">
        <v>0</v>
      </c>
      <c r="P34" s="2">
        <v>1</v>
      </c>
      <c r="Q34" s="2">
        <v>0</v>
      </c>
      <c r="R34" s="2">
        <v>6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5</v>
      </c>
      <c r="Y34">
        <f t="shared" si="0"/>
        <v>3</v>
      </c>
      <c r="Z34">
        <f t="shared" si="1"/>
        <v>3.6666666666666665</v>
      </c>
    </row>
    <row r="35" spans="1:26" x14ac:dyDescent="0.25">
      <c r="A35" s="2" t="s">
        <v>473</v>
      </c>
      <c r="B35" s="8">
        <v>14</v>
      </c>
      <c r="C35" s="2" t="s">
        <v>19</v>
      </c>
      <c r="D35" s="8" t="s">
        <v>20</v>
      </c>
      <c r="E35" s="2">
        <v>18</v>
      </c>
      <c r="F35" s="2">
        <v>40</v>
      </c>
      <c r="G35" s="2"/>
      <c r="H35" s="2">
        <v>70</v>
      </c>
      <c r="I35" s="2"/>
      <c r="J35" s="2">
        <v>79</v>
      </c>
      <c r="K35" s="2">
        <v>34</v>
      </c>
      <c r="L35" s="2">
        <v>4901</v>
      </c>
      <c r="M35" s="2"/>
      <c r="N35" s="2"/>
      <c r="O35" s="2"/>
      <c r="P35" s="2"/>
      <c r="Q35" s="2"/>
      <c r="R35" s="2"/>
      <c r="S35" s="2">
        <v>0</v>
      </c>
      <c r="T35" s="2">
        <v>2</v>
      </c>
      <c r="U35" s="2">
        <v>1</v>
      </c>
      <c r="V35" s="2">
        <v>0</v>
      </c>
      <c r="W35" s="2">
        <v>0</v>
      </c>
      <c r="X35" s="2">
        <v>27</v>
      </c>
      <c r="Y35">
        <f t="shared" si="0"/>
        <v>3</v>
      </c>
      <c r="Z35">
        <f t="shared" si="1"/>
        <v>9</v>
      </c>
    </row>
    <row r="36" spans="1:26" x14ac:dyDescent="0.25">
      <c r="A36" s="2" t="s">
        <v>474</v>
      </c>
      <c r="B36" s="8">
        <v>15</v>
      </c>
      <c r="C36" s="2" t="s">
        <v>19</v>
      </c>
      <c r="D36" s="8" t="s">
        <v>20</v>
      </c>
      <c r="E36" s="2">
        <v>11</v>
      </c>
      <c r="F36" s="2">
        <v>30</v>
      </c>
      <c r="G36" s="2"/>
      <c r="H36" s="2">
        <v>76</v>
      </c>
      <c r="I36" s="2"/>
      <c r="J36" s="2">
        <v>57</v>
      </c>
      <c r="K36" s="2">
        <v>34</v>
      </c>
      <c r="L36" s="2" t="s">
        <v>21</v>
      </c>
      <c r="M36" s="2"/>
      <c r="N36" s="2"/>
      <c r="O36" s="2"/>
      <c r="P36" s="2"/>
      <c r="Q36" s="2"/>
      <c r="R36" s="2"/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1</v>
      </c>
      <c r="Y36">
        <f t="shared" si="0"/>
        <v>1</v>
      </c>
      <c r="Z36">
        <f t="shared" si="1"/>
        <v>1</v>
      </c>
    </row>
    <row r="37" spans="1:26" x14ac:dyDescent="0.25">
      <c r="A37" s="2" t="s">
        <v>475</v>
      </c>
      <c r="B37" s="8">
        <v>16</v>
      </c>
      <c r="C37" s="2" t="s">
        <v>19</v>
      </c>
      <c r="D37" s="8" t="s">
        <v>20</v>
      </c>
      <c r="E37" s="2">
        <v>11.5</v>
      </c>
      <c r="F37" s="2">
        <v>33</v>
      </c>
      <c r="G37" s="2">
        <v>42</v>
      </c>
      <c r="H37" s="2"/>
      <c r="I37" s="2">
        <v>62</v>
      </c>
      <c r="J37" s="2"/>
      <c r="K37" s="2">
        <v>35</v>
      </c>
      <c r="L37" s="2">
        <v>4174</v>
      </c>
      <c r="M37" s="2">
        <v>0</v>
      </c>
      <c r="N37" s="2">
        <v>3</v>
      </c>
      <c r="O37" s="2">
        <v>0</v>
      </c>
      <c r="P37" s="2">
        <v>0</v>
      </c>
      <c r="Q37" s="2">
        <v>0</v>
      </c>
      <c r="R37" s="2">
        <v>6</v>
      </c>
      <c r="S37" s="2"/>
      <c r="T37" s="2"/>
      <c r="U37" s="2"/>
      <c r="V37" s="2"/>
      <c r="W37" s="2"/>
      <c r="X37" s="2"/>
      <c r="Y37">
        <f t="shared" si="0"/>
        <v>3</v>
      </c>
      <c r="Z37">
        <f t="shared" si="1"/>
        <v>2</v>
      </c>
    </row>
    <row r="38" spans="1:26" x14ac:dyDescent="0.25">
      <c r="A38" s="2" t="s">
        <v>476</v>
      </c>
      <c r="B38" s="8">
        <v>17</v>
      </c>
      <c r="C38" s="2" t="s">
        <v>19</v>
      </c>
      <c r="D38" s="8" t="s">
        <v>20</v>
      </c>
      <c r="E38" s="2">
        <v>13.5</v>
      </c>
      <c r="F38" s="2">
        <v>34</v>
      </c>
      <c r="G38" s="2"/>
      <c r="H38" s="2">
        <v>102</v>
      </c>
      <c r="I38" s="2"/>
      <c r="J38" s="2">
        <v>71</v>
      </c>
      <c r="K38" s="2">
        <v>34</v>
      </c>
      <c r="L38" s="2">
        <v>7086</v>
      </c>
      <c r="M38" s="2"/>
      <c r="N38" s="2"/>
      <c r="O38" s="2"/>
      <c r="P38" s="2"/>
      <c r="Q38" s="2"/>
      <c r="R38" s="2"/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23</v>
      </c>
      <c r="Y38">
        <f t="shared" si="0"/>
        <v>2</v>
      </c>
      <c r="Z38">
        <f t="shared" si="1"/>
        <v>11.5</v>
      </c>
    </row>
    <row r="39" spans="1:26" x14ac:dyDescent="0.25">
      <c r="A39" s="2" t="s">
        <v>477</v>
      </c>
      <c r="B39" s="8">
        <v>18</v>
      </c>
      <c r="C39" s="2" t="s">
        <v>19</v>
      </c>
      <c r="D39" s="8" t="s">
        <v>20</v>
      </c>
      <c r="E39" s="2">
        <v>12</v>
      </c>
      <c r="F39" s="2">
        <v>29</v>
      </c>
      <c r="G39" s="2">
        <v>21</v>
      </c>
      <c r="H39" s="2">
        <v>81</v>
      </c>
      <c r="I39" s="2">
        <v>53</v>
      </c>
      <c r="J39" s="2">
        <v>61</v>
      </c>
      <c r="K39" s="2">
        <v>32</v>
      </c>
      <c r="L39" s="2">
        <v>13326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3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10</v>
      </c>
      <c r="Y39">
        <f t="shared" si="0"/>
        <v>3</v>
      </c>
      <c r="Z39">
        <f t="shared" si="1"/>
        <v>4.333333333333333</v>
      </c>
    </row>
    <row r="40" spans="1:26" x14ac:dyDescent="0.25">
      <c r="A40" s="2" t="s">
        <v>478</v>
      </c>
      <c r="B40" s="8">
        <v>19</v>
      </c>
      <c r="C40" s="2" t="s">
        <v>19</v>
      </c>
      <c r="D40" s="8" t="s">
        <v>20</v>
      </c>
      <c r="E40" s="2">
        <v>9</v>
      </c>
      <c r="F40" s="2" t="s">
        <v>21</v>
      </c>
      <c r="G40" s="2"/>
      <c r="H40" s="2"/>
      <c r="I40" s="2"/>
      <c r="J40" s="2"/>
      <c r="K40" s="2">
        <v>32</v>
      </c>
      <c r="L40" s="2" t="s">
        <v>21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>
        <f t="shared" si="0"/>
        <v>0</v>
      </c>
      <c r="Z40" t="e">
        <f t="shared" si="1"/>
        <v>#DIV/0!</v>
      </c>
    </row>
    <row r="41" spans="1:26" x14ac:dyDescent="0.25">
      <c r="A41" s="2" t="s">
        <v>480</v>
      </c>
      <c r="B41" s="8">
        <v>20</v>
      </c>
      <c r="C41" s="2" t="s">
        <v>19</v>
      </c>
      <c r="D41" s="8" t="s">
        <v>20</v>
      </c>
      <c r="E41" s="2">
        <v>12</v>
      </c>
      <c r="F41" s="2">
        <v>30</v>
      </c>
      <c r="G41" s="2">
        <v>29</v>
      </c>
      <c r="H41" s="2"/>
      <c r="I41" s="2">
        <v>42</v>
      </c>
      <c r="J41" s="2"/>
      <c r="K41" s="2">
        <v>37</v>
      </c>
      <c r="L41" s="2">
        <v>11185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1</v>
      </c>
      <c r="S41" s="2"/>
      <c r="T41" s="2"/>
      <c r="U41" s="2"/>
      <c r="V41" s="2"/>
      <c r="W41" s="2"/>
      <c r="X41" s="2"/>
      <c r="Y41">
        <f t="shared" si="0"/>
        <v>1</v>
      </c>
      <c r="Z41">
        <f t="shared" si="1"/>
        <v>1</v>
      </c>
    </row>
    <row r="42" spans="1:26" x14ac:dyDescent="0.25">
      <c r="A42" s="2" t="s">
        <v>525</v>
      </c>
      <c r="B42" s="8">
        <v>1</v>
      </c>
      <c r="C42" s="2" t="s">
        <v>26</v>
      </c>
      <c r="D42" s="8" t="s">
        <v>20</v>
      </c>
      <c r="E42" s="2">
        <v>13</v>
      </c>
      <c r="F42" s="2">
        <v>25</v>
      </c>
      <c r="G42" s="2">
        <v>22</v>
      </c>
      <c r="H42" s="2">
        <v>98</v>
      </c>
      <c r="I42" s="2">
        <v>38</v>
      </c>
      <c r="J42" s="2">
        <v>56</v>
      </c>
      <c r="K42" s="2">
        <v>31</v>
      </c>
      <c r="L42" s="2">
        <v>10680</v>
      </c>
      <c r="M42" s="2">
        <v>0</v>
      </c>
      <c r="N42" s="2">
        <v>1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1</v>
      </c>
      <c r="U42" s="2">
        <v>2</v>
      </c>
      <c r="V42" s="2">
        <v>1</v>
      </c>
      <c r="W42" s="2">
        <v>0</v>
      </c>
      <c r="X42" s="2">
        <v>18</v>
      </c>
      <c r="Y42">
        <f t="shared" si="0"/>
        <v>5</v>
      </c>
      <c r="Z42">
        <f t="shared" si="1"/>
        <v>3.8</v>
      </c>
    </row>
    <row r="43" spans="1:26" x14ac:dyDescent="0.25">
      <c r="A43" s="2" t="s">
        <v>526</v>
      </c>
      <c r="B43" s="8">
        <v>2</v>
      </c>
      <c r="C43" s="2" t="s">
        <v>26</v>
      </c>
      <c r="D43" s="8" t="s">
        <v>20</v>
      </c>
      <c r="E43" s="2">
        <v>14</v>
      </c>
      <c r="F43" s="2">
        <v>39</v>
      </c>
      <c r="G43" s="2"/>
      <c r="H43" s="2">
        <v>104</v>
      </c>
      <c r="I43" s="2"/>
      <c r="J43" s="2">
        <v>62</v>
      </c>
      <c r="K43" s="2">
        <v>34</v>
      </c>
      <c r="L43" s="2">
        <v>2767</v>
      </c>
      <c r="M43" s="2"/>
      <c r="N43" s="2"/>
      <c r="O43" s="2"/>
      <c r="P43" s="2"/>
      <c r="Q43" s="2"/>
      <c r="R43" s="2"/>
      <c r="S43" s="2">
        <v>1</v>
      </c>
      <c r="T43" s="2">
        <v>1</v>
      </c>
      <c r="U43" s="2">
        <v>2</v>
      </c>
      <c r="V43" s="2">
        <v>0</v>
      </c>
      <c r="W43" s="2">
        <v>0</v>
      </c>
      <c r="X43" s="2">
        <v>33</v>
      </c>
      <c r="Y43">
        <f t="shared" si="0"/>
        <v>4</v>
      </c>
      <c r="Z43">
        <f t="shared" si="1"/>
        <v>8.25</v>
      </c>
    </row>
    <row r="44" spans="1:26" x14ac:dyDescent="0.25">
      <c r="A44" s="2" t="s">
        <v>527</v>
      </c>
      <c r="B44" s="8">
        <v>3</v>
      </c>
      <c r="C44" s="2" t="s">
        <v>26</v>
      </c>
      <c r="D44" s="8" t="s">
        <v>20</v>
      </c>
      <c r="E44" s="2">
        <v>9</v>
      </c>
      <c r="F44" s="2">
        <v>26</v>
      </c>
      <c r="G44" s="2"/>
      <c r="H44" s="2">
        <v>47</v>
      </c>
      <c r="I44" s="2"/>
      <c r="J44" s="2">
        <v>69</v>
      </c>
      <c r="K44" s="2">
        <v>40</v>
      </c>
      <c r="L44" s="2">
        <v>1648</v>
      </c>
      <c r="M44" s="2"/>
      <c r="N44" s="2"/>
      <c r="O44" s="2"/>
      <c r="P44" s="2"/>
      <c r="Q44" s="2"/>
      <c r="R44" s="2"/>
      <c r="S44" s="2">
        <v>0</v>
      </c>
      <c r="T44" s="2">
        <v>3</v>
      </c>
      <c r="U44" s="2">
        <v>3</v>
      </c>
      <c r="V44" s="2">
        <v>0</v>
      </c>
      <c r="W44" s="2">
        <v>0</v>
      </c>
      <c r="X44" s="2">
        <v>14</v>
      </c>
      <c r="Y44">
        <f t="shared" si="0"/>
        <v>6</v>
      </c>
      <c r="Z44">
        <f t="shared" si="1"/>
        <v>2.3333333333333335</v>
      </c>
    </row>
    <row r="45" spans="1:26" x14ac:dyDescent="0.25">
      <c r="A45" s="2" t="s">
        <v>528</v>
      </c>
      <c r="B45" s="8">
        <v>4</v>
      </c>
      <c r="C45" s="2" t="s">
        <v>26</v>
      </c>
      <c r="D45" s="8" t="s">
        <v>20</v>
      </c>
      <c r="E45" s="2">
        <v>11</v>
      </c>
      <c r="F45" s="2">
        <v>28</v>
      </c>
      <c r="G45" s="2"/>
      <c r="H45" s="2">
        <v>51</v>
      </c>
      <c r="I45" s="2"/>
      <c r="J45" s="2">
        <v>35</v>
      </c>
      <c r="K45" s="2">
        <v>34</v>
      </c>
      <c r="L45" s="2">
        <v>3873</v>
      </c>
      <c r="M45" s="2"/>
      <c r="N45" s="2"/>
      <c r="O45" s="2"/>
      <c r="P45" s="2"/>
      <c r="Q45" s="2"/>
      <c r="R45" s="2"/>
      <c r="S45" s="2">
        <v>1</v>
      </c>
      <c r="T45" s="2">
        <v>1</v>
      </c>
      <c r="U45" s="2">
        <v>2</v>
      </c>
      <c r="V45" s="2">
        <v>0</v>
      </c>
      <c r="W45" s="2">
        <v>0</v>
      </c>
      <c r="X45" s="2">
        <v>16</v>
      </c>
      <c r="Y45">
        <f t="shared" si="0"/>
        <v>4</v>
      </c>
      <c r="Z45">
        <f t="shared" si="1"/>
        <v>4</v>
      </c>
    </row>
    <row r="46" spans="1:26" x14ac:dyDescent="0.25">
      <c r="A46" s="2" t="s">
        <v>529</v>
      </c>
      <c r="B46" s="8">
        <v>5</v>
      </c>
      <c r="C46" s="2" t="s">
        <v>26</v>
      </c>
      <c r="D46" s="8" t="s">
        <v>20</v>
      </c>
      <c r="E46" s="2">
        <v>11</v>
      </c>
      <c r="F46" s="2">
        <v>34</v>
      </c>
      <c r="G46" s="2">
        <v>55</v>
      </c>
      <c r="H46" s="2"/>
      <c r="I46" s="2">
        <v>38</v>
      </c>
      <c r="J46" s="2"/>
      <c r="K46" s="2">
        <v>40</v>
      </c>
      <c r="L46" s="2">
        <v>7256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1</v>
      </c>
      <c r="S46" s="2"/>
      <c r="T46" s="2"/>
      <c r="U46" s="2"/>
      <c r="V46" s="2"/>
      <c r="W46" s="2"/>
      <c r="X46" s="2"/>
      <c r="Y46">
        <f t="shared" si="0"/>
        <v>1</v>
      </c>
      <c r="Z46">
        <f t="shared" si="1"/>
        <v>1</v>
      </c>
    </row>
    <row r="47" spans="1:26" x14ac:dyDescent="0.25">
      <c r="A47" s="2" t="s">
        <v>530</v>
      </c>
      <c r="B47" s="8">
        <v>6</v>
      </c>
      <c r="C47" s="2" t="s">
        <v>26</v>
      </c>
      <c r="D47" s="8" t="s">
        <v>20</v>
      </c>
      <c r="E47" s="2">
        <v>14</v>
      </c>
      <c r="F47" s="2">
        <v>48</v>
      </c>
      <c r="G47" s="2"/>
      <c r="H47" s="2"/>
      <c r="I47" s="2"/>
      <c r="J47" s="2"/>
      <c r="K47" s="2">
        <v>38</v>
      </c>
      <c r="L47" s="2" t="s">
        <v>21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>
        <f t="shared" si="0"/>
        <v>0</v>
      </c>
      <c r="Z47" t="e">
        <f t="shared" si="1"/>
        <v>#DIV/0!</v>
      </c>
    </row>
    <row r="48" spans="1:26" x14ac:dyDescent="0.25">
      <c r="A48" s="2" t="s">
        <v>532</v>
      </c>
      <c r="B48" s="8">
        <v>7</v>
      </c>
      <c r="C48" s="2" t="s">
        <v>26</v>
      </c>
      <c r="D48" s="8" t="s">
        <v>20</v>
      </c>
      <c r="E48" s="2">
        <v>16</v>
      </c>
      <c r="F48" s="2">
        <v>40</v>
      </c>
      <c r="G48" s="2">
        <v>78</v>
      </c>
      <c r="H48" s="2">
        <v>95</v>
      </c>
      <c r="I48" s="2">
        <v>51</v>
      </c>
      <c r="J48" s="2">
        <v>87</v>
      </c>
      <c r="K48" s="2">
        <v>35</v>
      </c>
      <c r="L48" s="2">
        <v>21496</v>
      </c>
      <c r="M48" s="2">
        <v>0</v>
      </c>
      <c r="N48" s="2">
        <v>2</v>
      </c>
      <c r="O48" s="2">
        <v>1</v>
      </c>
      <c r="P48" s="2">
        <v>0</v>
      </c>
      <c r="Q48" s="2">
        <v>0</v>
      </c>
      <c r="R48" s="2">
        <v>5</v>
      </c>
      <c r="S48" s="2">
        <v>0</v>
      </c>
      <c r="T48" s="2">
        <v>1</v>
      </c>
      <c r="U48" s="2">
        <v>3</v>
      </c>
      <c r="V48" s="2">
        <v>0</v>
      </c>
      <c r="W48" s="2">
        <v>0</v>
      </c>
      <c r="X48" s="2">
        <v>20</v>
      </c>
      <c r="Y48">
        <f t="shared" si="0"/>
        <v>7</v>
      </c>
      <c r="Z48">
        <f t="shared" si="1"/>
        <v>3.5714285714285716</v>
      </c>
    </row>
    <row r="49" spans="1:26" x14ac:dyDescent="0.25">
      <c r="A49" s="2" t="s">
        <v>533</v>
      </c>
      <c r="B49" s="8">
        <v>8</v>
      </c>
      <c r="C49" s="2" t="s">
        <v>26</v>
      </c>
      <c r="D49" s="8" t="s">
        <v>20</v>
      </c>
      <c r="E49" s="2">
        <v>10.5</v>
      </c>
      <c r="F49" s="2">
        <v>42</v>
      </c>
      <c r="G49" s="2"/>
      <c r="H49" s="2">
        <v>73</v>
      </c>
      <c r="I49" s="2"/>
      <c r="J49" s="2">
        <v>70</v>
      </c>
      <c r="K49" s="2">
        <v>34</v>
      </c>
      <c r="L49" s="2">
        <v>5466</v>
      </c>
      <c r="M49" s="2"/>
      <c r="N49" s="2"/>
      <c r="O49" s="2"/>
      <c r="P49" s="2"/>
      <c r="Q49" s="2"/>
      <c r="R49" s="2"/>
      <c r="S49" s="2">
        <v>0</v>
      </c>
      <c r="T49" s="2">
        <v>4</v>
      </c>
      <c r="U49" s="2">
        <v>2</v>
      </c>
      <c r="V49" s="2">
        <v>0</v>
      </c>
      <c r="W49" s="2">
        <v>1</v>
      </c>
      <c r="X49" s="2">
        <v>14</v>
      </c>
      <c r="Y49">
        <f t="shared" si="0"/>
        <v>7</v>
      </c>
      <c r="Z49">
        <f t="shared" si="1"/>
        <v>2</v>
      </c>
    </row>
    <row r="50" spans="1:26" x14ac:dyDescent="0.25">
      <c r="A50" s="2" t="s">
        <v>534</v>
      </c>
      <c r="B50" s="8">
        <v>9</v>
      </c>
      <c r="C50" s="2" t="s">
        <v>26</v>
      </c>
      <c r="D50" s="8" t="s">
        <v>20</v>
      </c>
      <c r="E50" s="2">
        <v>10.5</v>
      </c>
      <c r="F50" s="2">
        <v>21</v>
      </c>
      <c r="G50" s="2">
        <v>25</v>
      </c>
      <c r="H50" s="2">
        <v>90</v>
      </c>
      <c r="I50" s="2">
        <v>53</v>
      </c>
      <c r="J50" s="2">
        <v>64</v>
      </c>
      <c r="K50" s="2">
        <v>33</v>
      </c>
      <c r="L50" s="2">
        <v>8191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2</v>
      </c>
      <c r="U50" s="2">
        <v>3</v>
      </c>
      <c r="V50" s="2">
        <v>0</v>
      </c>
      <c r="W50" s="2">
        <v>0</v>
      </c>
      <c r="X50" s="2">
        <v>10</v>
      </c>
      <c r="Y50">
        <f t="shared" si="0"/>
        <v>6</v>
      </c>
      <c r="Z50">
        <f t="shared" si="1"/>
        <v>1.8333333333333333</v>
      </c>
    </row>
    <row r="51" spans="1:26" x14ac:dyDescent="0.25">
      <c r="A51" s="2" t="s">
        <v>535</v>
      </c>
      <c r="B51" s="8">
        <v>10</v>
      </c>
      <c r="C51" s="2" t="s">
        <v>26</v>
      </c>
      <c r="D51" s="8" t="s">
        <v>20</v>
      </c>
      <c r="E51" s="2">
        <v>6</v>
      </c>
      <c r="F51" s="2">
        <v>25</v>
      </c>
      <c r="G51" s="2">
        <v>17</v>
      </c>
      <c r="H51" s="2">
        <v>48</v>
      </c>
      <c r="I51" s="2">
        <v>42</v>
      </c>
      <c r="J51" s="2">
        <v>52</v>
      </c>
      <c r="K51" s="2">
        <v>32</v>
      </c>
      <c r="L51" s="2">
        <v>8467</v>
      </c>
      <c r="M51" s="2">
        <v>0</v>
      </c>
      <c r="N51" s="2">
        <v>0</v>
      </c>
      <c r="O51" s="2">
        <v>2</v>
      </c>
      <c r="P51" s="2">
        <v>0</v>
      </c>
      <c r="Q51" s="2">
        <v>0</v>
      </c>
      <c r="R51" s="2">
        <v>6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1</v>
      </c>
      <c r="Y51">
        <f t="shared" si="0"/>
        <v>3</v>
      </c>
      <c r="Z51">
        <f t="shared" si="1"/>
        <v>2.3333333333333335</v>
      </c>
    </row>
    <row r="52" spans="1:26" x14ac:dyDescent="0.25">
      <c r="A52" s="2" t="s">
        <v>536</v>
      </c>
      <c r="B52" s="8">
        <v>11</v>
      </c>
      <c r="C52" s="2" t="s">
        <v>26</v>
      </c>
      <c r="D52" s="8" t="s">
        <v>20</v>
      </c>
      <c r="E52" s="2">
        <v>11.5</v>
      </c>
      <c r="F52" s="2">
        <v>33</v>
      </c>
      <c r="G52" s="2">
        <v>38</v>
      </c>
      <c r="H52" s="2">
        <v>124</v>
      </c>
      <c r="I52" s="2">
        <v>62</v>
      </c>
      <c r="J52" s="2">
        <v>81</v>
      </c>
      <c r="K52" s="2">
        <v>38</v>
      </c>
      <c r="L52" s="2">
        <v>4822</v>
      </c>
      <c r="M52" s="2">
        <v>0</v>
      </c>
      <c r="N52" s="2">
        <v>2</v>
      </c>
      <c r="O52" s="2">
        <v>1</v>
      </c>
      <c r="P52" s="2">
        <v>0</v>
      </c>
      <c r="Q52" s="2">
        <v>0</v>
      </c>
      <c r="R52" s="2">
        <v>13</v>
      </c>
      <c r="S52" s="2">
        <v>0</v>
      </c>
      <c r="T52" s="2">
        <v>2</v>
      </c>
      <c r="U52" s="2">
        <v>1</v>
      </c>
      <c r="V52" s="2">
        <v>0</v>
      </c>
      <c r="W52" s="2">
        <v>0</v>
      </c>
      <c r="X52" s="2">
        <v>29</v>
      </c>
      <c r="Y52">
        <f t="shared" si="0"/>
        <v>6</v>
      </c>
      <c r="Z52">
        <f t="shared" si="1"/>
        <v>7</v>
      </c>
    </row>
    <row r="53" spans="1:26" x14ac:dyDescent="0.25">
      <c r="A53" s="2" t="s">
        <v>537</v>
      </c>
      <c r="B53" s="8">
        <v>12</v>
      </c>
      <c r="C53" s="2" t="s">
        <v>26</v>
      </c>
      <c r="D53" s="8" t="s">
        <v>20</v>
      </c>
      <c r="E53" s="2">
        <v>14.5</v>
      </c>
      <c r="F53" s="2">
        <v>38</v>
      </c>
      <c r="G53" s="2">
        <v>63</v>
      </c>
      <c r="H53" s="2">
        <v>75</v>
      </c>
      <c r="I53" s="2">
        <v>70</v>
      </c>
      <c r="J53" s="2">
        <v>86</v>
      </c>
      <c r="K53" s="2">
        <v>36</v>
      </c>
      <c r="L53" s="2">
        <v>7336</v>
      </c>
      <c r="M53" s="2">
        <v>0</v>
      </c>
      <c r="N53" s="2">
        <v>1</v>
      </c>
      <c r="O53" s="2">
        <v>1</v>
      </c>
      <c r="P53" s="2">
        <v>0</v>
      </c>
      <c r="Q53" s="2">
        <v>0</v>
      </c>
      <c r="R53" s="2">
        <v>7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43</v>
      </c>
      <c r="Y53">
        <f t="shared" si="0"/>
        <v>3</v>
      </c>
      <c r="Z53">
        <f t="shared" si="1"/>
        <v>16.666666666666668</v>
      </c>
    </row>
    <row r="54" spans="1:26" x14ac:dyDescent="0.25">
      <c r="A54" s="2" t="s">
        <v>538</v>
      </c>
      <c r="B54" s="8">
        <v>13</v>
      </c>
      <c r="C54" s="2" t="s">
        <v>26</v>
      </c>
      <c r="D54" s="8" t="s">
        <v>20</v>
      </c>
      <c r="E54" s="2">
        <v>11</v>
      </c>
      <c r="F54" s="2">
        <v>39.5</v>
      </c>
      <c r="G54" s="2">
        <v>46</v>
      </c>
      <c r="H54" s="2">
        <v>59</v>
      </c>
      <c r="I54" s="2">
        <v>49</v>
      </c>
      <c r="J54" s="2">
        <v>43</v>
      </c>
      <c r="K54" s="2">
        <v>37</v>
      </c>
      <c r="L54" s="2" t="s">
        <v>21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1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9</v>
      </c>
      <c r="Y54">
        <f t="shared" si="0"/>
        <v>2</v>
      </c>
      <c r="Z54">
        <f t="shared" si="1"/>
        <v>5</v>
      </c>
    </row>
    <row r="55" spans="1:26" x14ac:dyDescent="0.25">
      <c r="A55" s="2" t="s">
        <v>541</v>
      </c>
      <c r="B55" s="8">
        <v>14</v>
      </c>
      <c r="C55" s="2" t="s">
        <v>26</v>
      </c>
      <c r="D55" s="8" t="s">
        <v>20</v>
      </c>
      <c r="E55" s="2">
        <v>12</v>
      </c>
      <c r="F55" s="2">
        <v>37</v>
      </c>
      <c r="G55" s="2">
        <v>26</v>
      </c>
      <c r="H55" s="2"/>
      <c r="I55" s="2">
        <v>75</v>
      </c>
      <c r="J55" s="2"/>
      <c r="K55" s="2">
        <v>37</v>
      </c>
      <c r="L55" s="2">
        <v>4708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3</v>
      </c>
      <c r="S55" s="2"/>
      <c r="T55" s="2"/>
      <c r="U55" s="2"/>
      <c r="V55" s="2"/>
      <c r="W55" s="2"/>
      <c r="X55" s="2"/>
      <c r="Y55">
        <f t="shared" si="0"/>
        <v>1</v>
      </c>
      <c r="Z55">
        <f t="shared" si="1"/>
        <v>3</v>
      </c>
    </row>
    <row r="56" spans="1:26" x14ac:dyDescent="0.25">
      <c r="A56" s="2" t="s">
        <v>542</v>
      </c>
      <c r="B56" s="8">
        <v>15</v>
      </c>
      <c r="C56" s="2" t="s">
        <v>26</v>
      </c>
      <c r="D56" s="8" t="s">
        <v>20</v>
      </c>
      <c r="E56" s="2">
        <v>10</v>
      </c>
      <c r="F56" s="2">
        <v>36.5</v>
      </c>
      <c r="G56" s="2">
        <v>17</v>
      </c>
      <c r="H56" s="2">
        <v>53</v>
      </c>
      <c r="I56" s="2">
        <v>40</v>
      </c>
      <c r="J56" s="2">
        <v>52</v>
      </c>
      <c r="K56" s="2">
        <v>33</v>
      </c>
      <c r="L56" s="2">
        <v>2248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1</v>
      </c>
      <c r="S56" s="2">
        <v>0</v>
      </c>
      <c r="T56" s="2">
        <v>2</v>
      </c>
      <c r="U56" s="2">
        <v>1</v>
      </c>
      <c r="V56" s="2">
        <v>0</v>
      </c>
      <c r="W56" s="2">
        <v>0</v>
      </c>
      <c r="X56" s="2">
        <v>23</v>
      </c>
      <c r="Y56">
        <f t="shared" si="0"/>
        <v>4</v>
      </c>
      <c r="Z56">
        <f t="shared" si="1"/>
        <v>6</v>
      </c>
    </row>
    <row r="57" spans="1:26" x14ac:dyDescent="0.25">
      <c r="A57" s="2" t="s">
        <v>543</v>
      </c>
      <c r="B57" s="8">
        <v>16</v>
      </c>
      <c r="C57" s="2" t="s">
        <v>26</v>
      </c>
      <c r="D57" s="8" t="s">
        <v>20</v>
      </c>
      <c r="E57" s="2">
        <v>10</v>
      </c>
      <c r="F57" s="2">
        <v>24.5</v>
      </c>
      <c r="G57" s="2">
        <v>54</v>
      </c>
      <c r="H57" s="2">
        <v>117</v>
      </c>
      <c r="I57" s="2">
        <v>55</v>
      </c>
      <c r="J57" s="2">
        <v>61</v>
      </c>
      <c r="K57" s="2">
        <v>35</v>
      </c>
      <c r="L57" s="2">
        <v>8622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7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27</v>
      </c>
      <c r="Y57">
        <f t="shared" si="0"/>
        <v>3</v>
      </c>
      <c r="Z57">
        <f t="shared" si="1"/>
        <v>11.333333333333334</v>
      </c>
    </row>
    <row r="58" spans="1:26" x14ac:dyDescent="0.25">
      <c r="A58" s="2" t="s">
        <v>544</v>
      </c>
      <c r="B58" s="8">
        <v>17</v>
      </c>
      <c r="C58" s="2" t="s">
        <v>26</v>
      </c>
      <c r="D58" s="8" t="s">
        <v>20</v>
      </c>
      <c r="E58" s="2">
        <v>15</v>
      </c>
      <c r="F58" s="2">
        <v>41</v>
      </c>
      <c r="G58" s="2">
        <v>47</v>
      </c>
      <c r="H58" s="2">
        <v>126</v>
      </c>
      <c r="I58" s="2">
        <v>76</v>
      </c>
      <c r="J58" s="2">
        <v>60</v>
      </c>
      <c r="K58" s="2">
        <v>35</v>
      </c>
      <c r="L58" s="2">
        <v>14175</v>
      </c>
      <c r="M58" s="2">
        <v>0</v>
      </c>
      <c r="N58" s="2">
        <v>2</v>
      </c>
      <c r="O58" s="2">
        <v>0</v>
      </c>
      <c r="P58" s="2">
        <v>0</v>
      </c>
      <c r="Q58" s="2">
        <v>0</v>
      </c>
      <c r="R58" s="2">
        <v>3</v>
      </c>
      <c r="S58" s="2">
        <v>0</v>
      </c>
      <c r="T58" s="2">
        <v>2</v>
      </c>
      <c r="U58" s="2">
        <v>5</v>
      </c>
      <c r="V58" s="2">
        <v>0</v>
      </c>
      <c r="W58" s="2">
        <v>0</v>
      </c>
      <c r="X58" s="2">
        <v>49</v>
      </c>
      <c r="Y58">
        <f t="shared" si="0"/>
        <v>9</v>
      </c>
      <c r="Z58">
        <f t="shared" si="1"/>
        <v>5.7777777777777777</v>
      </c>
    </row>
    <row r="59" spans="1:26" x14ac:dyDescent="0.25">
      <c r="A59" s="2" t="s">
        <v>545</v>
      </c>
      <c r="B59" s="8">
        <v>18</v>
      </c>
      <c r="C59" s="2" t="s">
        <v>26</v>
      </c>
      <c r="D59" s="8" t="s">
        <v>20</v>
      </c>
      <c r="E59" s="2">
        <v>13</v>
      </c>
      <c r="F59" s="2">
        <v>22.5</v>
      </c>
      <c r="G59" s="2">
        <v>32</v>
      </c>
      <c r="H59" s="2">
        <v>78</v>
      </c>
      <c r="I59" s="2">
        <v>28</v>
      </c>
      <c r="J59" s="2">
        <v>55</v>
      </c>
      <c r="K59" s="2">
        <v>33</v>
      </c>
      <c r="L59" s="2">
        <v>4547</v>
      </c>
      <c r="M59" s="2">
        <v>1</v>
      </c>
      <c r="N59" s="2">
        <v>0</v>
      </c>
      <c r="O59" s="2">
        <v>3</v>
      </c>
      <c r="P59" s="2">
        <v>0</v>
      </c>
      <c r="Q59" s="2">
        <v>0</v>
      </c>
      <c r="R59" s="2">
        <v>19</v>
      </c>
      <c r="S59" s="2">
        <v>0</v>
      </c>
      <c r="T59" s="2">
        <v>1</v>
      </c>
      <c r="U59" s="2">
        <v>1</v>
      </c>
      <c r="V59" s="2">
        <v>0</v>
      </c>
      <c r="W59" s="2">
        <v>0</v>
      </c>
      <c r="X59" s="2">
        <v>7</v>
      </c>
      <c r="Y59">
        <f t="shared" si="0"/>
        <v>6</v>
      </c>
      <c r="Z59">
        <f t="shared" si="1"/>
        <v>4.333333333333333</v>
      </c>
    </row>
    <row r="60" spans="1:26" x14ac:dyDescent="0.25">
      <c r="A60" s="2" t="s">
        <v>546</v>
      </c>
      <c r="B60" s="8">
        <v>19</v>
      </c>
      <c r="C60" s="2" t="s">
        <v>26</v>
      </c>
      <c r="D60" s="8" t="s">
        <v>20</v>
      </c>
      <c r="E60" s="2">
        <v>19</v>
      </c>
      <c r="F60" s="2">
        <v>41</v>
      </c>
      <c r="G60" s="2"/>
      <c r="H60" s="2">
        <v>70</v>
      </c>
      <c r="I60" s="2"/>
      <c r="J60" s="2">
        <v>77</v>
      </c>
      <c r="K60" s="2">
        <v>34</v>
      </c>
      <c r="L60" s="2">
        <v>2959</v>
      </c>
      <c r="M60" s="2"/>
      <c r="N60" s="2"/>
      <c r="O60" s="2"/>
      <c r="P60" s="2"/>
      <c r="Q60" s="2"/>
      <c r="R60" s="2"/>
      <c r="S60" s="2">
        <v>0</v>
      </c>
      <c r="T60" s="2">
        <v>2</v>
      </c>
      <c r="U60" s="2">
        <v>0</v>
      </c>
      <c r="V60" s="2">
        <v>0</v>
      </c>
      <c r="W60" s="2">
        <v>0</v>
      </c>
      <c r="X60" s="2">
        <v>4</v>
      </c>
      <c r="Y60">
        <f t="shared" si="0"/>
        <v>2</v>
      </c>
      <c r="Z60">
        <f t="shared" si="1"/>
        <v>2</v>
      </c>
    </row>
    <row r="61" spans="1:26" x14ac:dyDescent="0.25">
      <c r="A61" s="2" t="s">
        <v>547</v>
      </c>
      <c r="B61" s="8">
        <v>20</v>
      </c>
      <c r="C61" s="2" t="s">
        <v>26</v>
      </c>
      <c r="D61" s="8" t="s">
        <v>20</v>
      </c>
      <c r="E61" s="2">
        <v>12</v>
      </c>
      <c r="F61" s="2">
        <v>42</v>
      </c>
      <c r="G61" s="2"/>
      <c r="H61" s="2">
        <v>77</v>
      </c>
      <c r="I61" s="2"/>
      <c r="J61" s="2">
        <v>81</v>
      </c>
      <c r="K61" s="2">
        <v>36</v>
      </c>
      <c r="L61" s="2">
        <v>14211</v>
      </c>
      <c r="M61" s="2"/>
      <c r="N61" s="2"/>
      <c r="O61" s="2"/>
      <c r="P61" s="2"/>
      <c r="Q61" s="2"/>
      <c r="R61" s="2"/>
      <c r="S61" s="2">
        <v>0</v>
      </c>
      <c r="T61" s="2">
        <v>2</v>
      </c>
      <c r="U61" s="2">
        <v>1</v>
      </c>
      <c r="V61" s="2">
        <v>0</v>
      </c>
      <c r="W61" s="2">
        <v>0</v>
      </c>
      <c r="X61" s="2">
        <v>9</v>
      </c>
      <c r="Y61">
        <f t="shared" si="0"/>
        <v>3</v>
      </c>
      <c r="Z61">
        <f t="shared" si="1"/>
        <v>3</v>
      </c>
    </row>
    <row r="62" spans="1:26" x14ac:dyDescent="0.25">
      <c r="A62" s="2" t="s">
        <v>592</v>
      </c>
      <c r="B62" s="8">
        <v>1</v>
      </c>
      <c r="C62" s="2" t="s">
        <v>23</v>
      </c>
      <c r="D62" s="8" t="s">
        <v>20</v>
      </c>
      <c r="E62" s="2">
        <v>21</v>
      </c>
      <c r="F62" s="2">
        <v>39</v>
      </c>
      <c r="G62" s="2"/>
      <c r="H62" s="2">
        <v>144</v>
      </c>
      <c r="I62" s="2"/>
      <c r="J62" s="2">
        <v>84</v>
      </c>
      <c r="K62" s="2">
        <v>34</v>
      </c>
      <c r="L62" s="2" t="s">
        <v>21</v>
      </c>
      <c r="M62" s="2"/>
      <c r="N62" s="2"/>
      <c r="O62" s="2"/>
      <c r="P62" s="2"/>
      <c r="Q62" s="2"/>
      <c r="R62" s="2"/>
      <c r="S62" s="2">
        <v>0</v>
      </c>
      <c r="T62" s="2">
        <v>3</v>
      </c>
      <c r="U62" s="2">
        <v>2</v>
      </c>
      <c r="V62" s="2">
        <v>0</v>
      </c>
      <c r="W62" s="2">
        <v>0</v>
      </c>
      <c r="X62" s="2">
        <v>13</v>
      </c>
      <c r="Y62">
        <f t="shared" si="0"/>
        <v>5</v>
      </c>
      <c r="Z62">
        <f t="shared" si="1"/>
        <v>2.6</v>
      </c>
    </row>
    <row r="63" spans="1:26" x14ac:dyDescent="0.25">
      <c r="A63" s="2" t="s">
        <v>593</v>
      </c>
      <c r="B63" s="8">
        <v>2</v>
      </c>
      <c r="C63" s="2" t="s">
        <v>23</v>
      </c>
      <c r="D63" s="8" t="s">
        <v>20</v>
      </c>
      <c r="E63" s="2">
        <v>18</v>
      </c>
      <c r="F63" s="2">
        <v>30</v>
      </c>
      <c r="G63" s="2">
        <v>69</v>
      </c>
      <c r="H63" s="2">
        <v>208</v>
      </c>
      <c r="I63" s="2">
        <v>72</v>
      </c>
      <c r="J63" s="2">
        <v>75</v>
      </c>
      <c r="K63" s="2">
        <v>33</v>
      </c>
      <c r="L63" s="2">
        <v>15462</v>
      </c>
      <c r="M63" s="2">
        <v>1</v>
      </c>
      <c r="N63" s="2">
        <v>0</v>
      </c>
      <c r="O63" s="2">
        <v>1</v>
      </c>
      <c r="P63" s="2">
        <v>0</v>
      </c>
      <c r="Q63" s="2">
        <v>0</v>
      </c>
      <c r="R63" s="2">
        <v>14</v>
      </c>
      <c r="S63" s="2">
        <v>1</v>
      </c>
      <c r="T63" s="2">
        <v>2</v>
      </c>
      <c r="U63" s="2">
        <v>2</v>
      </c>
      <c r="V63" s="2">
        <v>0</v>
      </c>
      <c r="W63" s="2">
        <v>0</v>
      </c>
      <c r="X63" s="2">
        <v>51</v>
      </c>
      <c r="Y63">
        <f t="shared" si="0"/>
        <v>7</v>
      </c>
      <c r="Z63">
        <f t="shared" si="1"/>
        <v>9.2857142857142865</v>
      </c>
    </row>
    <row r="64" spans="1:26" x14ac:dyDescent="0.25">
      <c r="A64" s="2" t="s">
        <v>594</v>
      </c>
      <c r="B64" s="8">
        <v>3</v>
      </c>
      <c r="C64" s="2" t="s">
        <v>23</v>
      </c>
      <c r="D64" s="8" t="s">
        <v>20</v>
      </c>
      <c r="E64" s="2">
        <v>18</v>
      </c>
      <c r="F64" s="2">
        <v>38</v>
      </c>
      <c r="G64" s="2">
        <v>110</v>
      </c>
      <c r="H64" s="2">
        <v>126</v>
      </c>
      <c r="I64" s="2">
        <v>59</v>
      </c>
      <c r="J64" s="2">
        <v>76</v>
      </c>
      <c r="K64" s="2">
        <v>36</v>
      </c>
      <c r="L64" s="2">
        <v>13956</v>
      </c>
      <c r="M64" s="2">
        <v>0</v>
      </c>
      <c r="N64" s="2">
        <v>3</v>
      </c>
      <c r="O64" s="2">
        <v>3</v>
      </c>
      <c r="P64" s="2">
        <v>0</v>
      </c>
      <c r="Q64" s="2">
        <v>0</v>
      </c>
      <c r="R64" s="2">
        <v>21</v>
      </c>
      <c r="S64" s="2">
        <v>0</v>
      </c>
      <c r="T64" s="2">
        <v>2</v>
      </c>
      <c r="U64" s="2">
        <v>6</v>
      </c>
      <c r="V64" s="2">
        <v>0</v>
      </c>
      <c r="W64" s="2">
        <v>0</v>
      </c>
      <c r="X64" s="2">
        <v>75</v>
      </c>
      <c r="Y64">
        <f t="shared" si="0"/>
        <v>14</v>
      </c>
      <c r="Z64">
        <f t="shared" si="1"/>
        <v>6.8571428571428568</v>
      </c>
    </row>
    <row r="65" spans="1:26" x14ac:dyDescent="0.25">
      <c r="A65" s="2" t="s">
        <v>595</v>
      </c>
      <c r="B65" s="8">
        <v>4</v>
      </c>
      <c r="C65" s="2" t="s">
        <v>23</v>
      </c>
      <c r="D65" s="8" t="s">
        <v>20</v>
      </c>
      <c r="E65" s="2">
        <v>18</v>
      </c>
      <c r="F65" s="2">
        <v>31</v>
      </c>
      <c r="G65" s="2">
        <v>63</v>
      </c>
      <c r="H65" s="2">
        <v>130</v>
      </c>
      <c r="I65" s="2">
        <v>57</v>
      </c>
      <c r="J65" s="2">
        <v>67</v>
      </c>
      <c r="K65" s="2">
        <v>35</v>
      </c>
      <c r="L65" s="2">
        <v>17691</v>
      </c>
      <c r="M65" s="2">
        <v>0</v>
      </c>
      <c r="N65" s="2">
        <v>2</v>
      </c>
      <c r="O65" s="2">
        <v>0</v>
      </c>
      <c r="P65" s="2">
        <v>0</v>
      </c>
      <c r="Q65" s="2">
        <v>0</v>
      </c>
      <c r="R65" s="2">
        <v>5</v>
      </c>
      <c r="S65" s="2">
        <v>0</v>
      </c>
      <c r="T65" s="2">
        <v>0</v>
      </c>
      <c r="U65" s="2">
        <v>5</v>
      </c>
      <c r="V65" s="2">
        <v>0</v>
      </c>
      <c r="W65" s="2">
        <v>0</v>
      </c>
      <c r="X65" s="2">
        <v>62</v>
      </c>
      <c r="Y65">
        <f t="shared" si="0"/>
        <v>7</v>
      </c>
      <c r="Z65">
        <f t="shared" si="1"/>
        <v>9.5714285714285712</v>
      </c>
    </row>
    <row r="66" spans="1:26" x14ac:dyDescent="0.25">
      <c r="A66" s="2" t="s">
        <v>596</v>
      </c>
      <c r="B66" s="8">
        <v>5</v>
      </c>
      <c r="C66" s="2" t="s">
        <v>23</v>
      </c>
      <c r="D66" s="8" t="s">
        <v>20</v>
      </c>
      <c r="E66" s="2">
        <v>15</v>
      </c>
      <c r="F66" s="2">
        <v>33</v>
      </c>
      <c r="G66" s="2">
        <v>115</v>
      </c>
      <c r="H66" s="2">
        <v>109</v>
      </c>
      <c r="I66" s="2">
        <v>62</v>
      </c>
      <c r="J66" s="2">
        <v>60</v>
      </c>
      <c r="K66" s="2">
        <v>35</v>
      </c>
      <c r="L66" s="2" t="s">
        <v>21</v>
      </c>
      <c r="M66" s="2">
        <v>1</v>
      </c>
      <c r="N66" s="2">
        <v>0</v>
      </c>
      <c r="O66" s="2">
        <v>2</v>
      </c>
      <c r="P66" s="2">
        <v>0</v>
      </c>
      <c r="Q66" s="2">
        <v>0</v>
      </c>
      <c r="R66" s="2">
        <v>17</v>
      </c>
      <c r="S66" s="2">
        <v>0</v>
      </c>
      <c r="T66" s="2">
        <v>2</v>
      </c>
      <c r="U66" s="2">
        <v>2</v>
      </c>
      <c r="V66" s="2">
        <v>0</v>
      </c>
      <c r="W66" s="2">
        <v>0</v>
      </c>
      <c r="X66" s="2">
        <v>11</v>
      </c>
      <c r="Y66">
        <f t="shared" si="0"/>
        <v>7</v>
      </c>
      <c r="Z66">
        <f t="shared" si="1"/>
        <v>4</v>
      </c>
    </row>
    <row r="67" spans="1:26" x14ac:dyDescent="0.25">
      <c r="A67" s="2" t="s">
        <v>597</v>
      </c>
      <c r="B67" s="8">
        <v>6</v>
      </c>
      <c r="C67" s="2" t="s">
        <v>23</v>
      </c>
      <c r="D67" s="8" t="s">
        <v>20</v>
      </c>
      <c r="E67" s="2">
        <v>18.5</v>
      </c>
      <c r="F67" s="2">
        <v>33.5</v>
      </c>
      <c r="G67" s="2"/>
      <c r="H67" s="2">
        <v>45</v>
      </c>
      <c r="I67" s="2"/>
      <c r="J67" s="2">
        <v>37</v>
      </c>
      <c r="K67" s="2">
        <v>34</v>
      </c>
      <c r="L67" s="2">
        <v>13437</v>
      </c>
      <c r="M67" s="2"/>
      <c r="N67" s="2"/>
      <c r="O67" s="2"/>
      <c r="P67" s="2"/>
      <c r="Q67" s="2"/>
      <c r="R67" s="2"/>
      <c r="S67" s="2">
        <v>0</v>
      </c>
      <c r="T67" s="2">
        <v>3</v>
      </c>
      <c r="U67" s="2">
        <v>2</v>
      </c>
      <c r="V67" s="2">
        <v>0</v>
      </c>
      <c r="W67" s="2">
        <v>0</v>
      </c>
      <c r="X67" s="2">
        <v>44</v>
      </c>
      <c r="Y67">
        <f t="shared" ref="Y67:Y130" si="2">SUM(M67:Q67,S67:W67)</f>
        <v>5</v>
      </c>
      <c r="Z67">
        <f t="shared" ref="Z67:Z130" si="3">(R67+X67) / (SUM(M67:Q67) + (SUM(S67:W67)))</f>
        <v>8.8000000000000007</v>
      </c>
    </row>
    <row r="68" spans="1:26" x14ac:dyDescent="0.25">
      <c r="A68" s="2" t="s">
        <v>598</v>
      </c>
      <c r="B68" s="8">
        <v>7</v>
      </c>
      <c r="C68" s="2" t="s">
        <v>23</v>
      </c>
      <c r="D68" s="8" t="s">
        <v>20</v>
      </c>
      <c r="E68" s="2">
        <v>19</v>
      </c>
      <c r="F68" s="2">
        <v>34</v>
      </c>
      <c r="G68" s="2">
        <v>67</v>
      </c>
      <c r="H68" s="2">
        <v>110</v>
      </c>
      <c r="I68" s="2">
        <v>56</v>
      </c>
      <c r="J68" s="2">
        <v>78</v>
      </c>
      <c r="K68" s="2">
        <v>39</v>
      </c>
      <c r="L68" s="2">
        <v>10227</v>
      </c>
      <c r="M68" s="2">
        <v>0</v>
      </c>
      <c r="N68" s="2">
        <v>2</v>
      </c>
      <c r="O68" s="2">
        <v>0</v>
      </c>
      <c r="P68" s="2">
        <v>0</v>
      </c>
      <c r="Q68" s="2">
        <v>0</v>
      </c>
      <c r="R68" s="2">
        <v>3</v>
      </c>
      <c r="S68" s="2">
        <v>2</v>
      </c>
      <c r="T68" s="2">
        <v>2</v>
      </c>
      <c r="U68" s="2">
        <v>1</v>
      </c>
      <c r="V68" s="2">
        <v>0</v>
      </c>
      <c r="W68" s="2">
        <v>0</v>
      </c>
      <c r="X68" s="2">
        <v>38</v>
      </c>
      <c r="Y68">
        <f t="shared" si="2"/>
        <v>7</v>
      </c>
      <c r="Z68">
        <f t="shared" si="3"/>
        <v>5.8571428571428568</v>
      </c>
    </row>
    <row r="69" spans="1:26" x14ac:dyDescent="0.25">
      <c r="A69" s="2" t="s">
        <v>599</v>
      </c>
      <c r="B69" s="8">
        <v>8</v>
      </c>
      <c r="C69" s="2" t="s">
        <v>23</v>
      </c>
      <c r="D69" s="8" t="s">
        <v>20</v>
      </c>
      <c r="E69" s="2">
        <v>18.5</v>
      </c>
      <c r="F69" s="2">
        <v>27</v>
      </c>
      <c r="G69" s="2"/>
      <c r="H69" s="2">
        <v>163</v>
      </c>
      <c r="I69" s="2"/>
      <c r="J69" s="2">
        <v>86</v>
      </c>
      <c r="K69" s="2">
        <v>34</v>
      </c>
      <c r="L69" s="2">
        <v>19517</v>
      </c>
      <c r="M69" s="2"/>
      <c r="N69" s="2"/>
      <c r="O69" s="2"/>
      <c r="P69" s="2"/>
      <c r="Q69" s="2"/>
      <c r="R69" s="2"/>
      <c r="S69" s="2">
        <v>0</v>
      </c>
      <c r="T69" s="2">
        <v>2</v>
      </c>
      <c r="U69" s="2">
        <v>2</v>
      </c>
      <c r="V69" s="2">
        <v>0</v>
      </c>
      <c r="W69" s="2">
        <v>0</v>
      </c>
      <c r="X69" s="2">
        <v>24</v>
      </c>
      <c r="Y69">
        <f t="shared" si="2"/>
        <v>4</v>
      </c>
      <c r="Z69">
        <f t="shared" si="3"/>
        <v>6</v>
      </c>
    </row>
    <row r="70" spans="1:26" x14ac:dyDescent="0.25">
      <c r="A70" s="2" t="s">
        <v>600</v>
      </c>
      <c r="B70" s="8">
        <v>9</v>
      </c>
      <c r="C70" s="2" t="s">
        <v>23</v>
      </c>
      <c r="D70" s="8" t="s">
        <v>20</v>
      </c>
      <c r="E70" s="2">
        <v>17</v>
      </c>
      <c r="F70" s="2">
        <v>48</v>
      </c>
      <c r="G70" s="2">
        <v>41</v>
      </c>
      <c r="H70" s="2"/>
      <c r="I70" s="2">
        <v>60</v>
      </c>
      <c r="J70" s="2"/>
      <c r="K70" s="2">
        <v>37</v>
      </c>
      <c r="L70" s="2">
        <v>5702</v>
      </c>
      <c r="M70" s="2">
        <v>0</v>
      </c>
      <c r="N70" s="2">
        <v>0</v>
      </c>
      <c r="O70" s="2">
        <v>2</v>
      </c>
      <c r="P70" s="2">
        <v>0</v>
      </c>
      <c r="Q70" s="2">
        <v>0</v>
      </c>
      <c r="R70" s="2">
        <v>23</v>
      </c>
      <c r="S70" s="2"/>
      <c r="T70" s="2"/>
      <c r="U70" s="2"/>
      <c r="V70" s="2"/>
      <c r="W70" s="2"/>
      <c r="X70" s="2"/>
      <c r="Y70">
        <f t="shared" si="2"/>
        <v>2</v>
      </c>
      <c r="Z70">
        <f t="shared" si="3"/>
        <v>11.5</v>
      </c>
    </row>
    <row r="71" spans="1:26" x14ac:dyDescent="0.25">
      <c r="A71" s="2" t="s">
        <v>601</v>
      </c>
      <c r="B71" s="8">
        <v>10</v>
      </c>
      <c r="C71" s="2" t="s">
        <v>23</v>
      </c>
      <c r="D71" s="8" t="s">
        <v>20</v>
      </c>
      <c r="E71" s="2">
        <v>20</v>
      </c>
      <c r="F71" s="2">
        <v>43</v>
      </c>
      <c r="G71" s="2"/>
      <c r="H71" s="2">
        <v>155</v>
      </c>
      <c r="I71" s="2"/>
      <c r="J71" s="2">
        <v>84</v>
      </c>
      <c r="K71" s="2">
        <v>34</v>
      </c>
      <c r="L71" s="2">
        <v>8533</v>
      </c>
      <c r="M71" s="2"/>
      <c r="N71" s="2"/>
      <c r="O71" s="2"/>
      <c r="P71" s="2"/>
      <c r="Q71" s="2"/>
      <c r="R71" s="2"/>
      <c r="S71" s="2">
        <v>1</v>
      </c>
      <c r="T71" s="2">
        <v>6</v>
      </c>
      <c r="U71" s="2">
        <v>2</v>
      </c>
      <c r="V71" s="2">
        <v>0</v>
      </c>
      <c r="W71" s="2">
        <v>1</v>
      </c>
      <c r="X71" s="2">
        <v>27</v>
      </c>
      <c r="Y71">
        <f t="shared" si="2"/>
        <v>10</v>
      </c>
      <c r="Z71">
        <f t="shared" si="3"/>
        <v>2.7</v>
      </c>
    </row>
    <row r="72" spans="1:26" x14ac:dyDescent="0.25">
      <c r="A72" s="2" t="s">
        <v>602</v>
      </c>
      <c r="B72" s="8">
        <v>11</v>
      </c>
      <c r="C72" s="2" t="s">
        <v>23</v>
      </c>
      <c r="D72" s="8" t="s">
        <v>20</v>
      </c>
      <c r="E72" s="2">
        <v>13.5</v>
      </c>
      <c r="F72" s="2">
        <v>31</v>
      </c>
      <c r="G72" s="2">
        <v>45</v>
      </c>
      <c r="H72" s="2">
        <v>128</v>
      </c>
      <c r="I72" s="2">
        <v>45</v>
      </c>
      <c r="J72" s="2">
        <v>51</v>
      </c>
      <c r="K72" s="2">
        <v>33</v>
      </c>
      <c r="L72" s="2">
        <v>22609</v>
      </c>
      <c r="M72" s="2">
        <v>1</v>
      </c>
      <c r="N72" s="2">
        <v>2</v>
      </c>
      <c r="O72" s="2">
        <v>0</v>
      </c>
      <c r="P72" s="2">
        <v>0</v>
      </c>
      <c r="Q72" s="2">
        <v>0</v>
      </c>
      <c r="R72" s="2">
        <v>15</v>
      </c>
      <c r="S72" s="2">
        <v>0</v>
      </c>
      <c r="T72" s="2">
        <v>4</v>
      </c>
      <c r="U72" s="2">
        <v>3</v>
      </c>
      <c r="V72" s="2">
        <v>0</v>
      </c>
      <c r="W72" s="2">
        <v>0</v>
      </c>
      <c r="X72" s="2">
        <v>35</v>
      </c>
      <c r="Y72">
        <f t="shared" si="2"/>
        <v>10</v>
      </c>
      <c r="Z72">
        <f t="shared" si="3"/>
        <v>5</v>
      </c>
    </row>
    <row r="73" spans="1:26" x14ac:dyDescent="0.25">
      <c r="A73" s="2" t="s">
        <v>603</v>
      </c>
      <c r="B73" s="8">
        <v>12</v>
      </c>
      <c r="C73" s="2" t="s">
        <v>23</v>
      </c>
      <c r="D73" s="8" t="s">
        <v>20</v>
      </c>
      <c r="E73" s="2">
        <v>26</v>
      </c>
      <c r="F73" s="2">
        <v>47</v>
      </c>
      <c r="G73" s="2">
        <v>140</v>
      </c>
      <c r="H73" s="2">
        <v>200</v>
      </c>
      <c r="I73" s="2">
        <v>65</v>
      </c>
      <c r="J73" s="2">
        <v>75</v>
      </c>
      <c r="K73" s="2">
        <v>38</v>
      </c>
      <c r="L73" s="2">
        <v>20686</v>
      </c>
      <c r="M73" s="2">
        <v>1</v>
      </c>
      <c r="N73" s="2">
        <v>2</v>
      </c>
      <c r="O73" s="2">
        <v>1</v>
      </c>
      <c r="P73" s="2">
        <v>1</v>
      </c>
      <c r="Q73" s="2">
        <v>0</v>
      </c>
      <c r="R73" s="2">
        <v>42</v>
      </c>
      <c r="S73" s="2">
        <v>0</v>
      </c>
      <c r="T73" s="2">
        <v>2</v>
      </c>
      <c r="U73" s="2">
        <v>7</v>
      </c>
      <c r="V73" s="2">
        <v>0</v>
      </c>
      <c r="W73" s="2">
        <v>0</v>
      </c>
      <c r="X73" s="2">
        <v>74</v>
      </c>
      <c r="Y73">
        <f t="shared" si="2"/>
        <v>14</v>
      </c>
      <c r="Z73">
        <f t="shared" si="3"/>
        <v>8.2857142857142865</v>
      </c>
    </row>
    <row r="74" spans="1:26" x14ac:dyDescent="0.25">
      <c r="A74" s="2" t="s">
        <v>604</v>
      </c>
      <c r="B74" s="8">
        <v>13</v>
      </c>
      <c r="C74" s="2" t="s">
        <v>23</v>
      </c>
      <c r="D74" s="8" t="s">
        <v>20</v>
      </c>
      <c r="E74" s="2">
        <v>20</v>
      </c>
      <c r="F74" s="2">
        <v>42</v>
      </c>
      <c r="G74" s="2"/>
      <c r="H74" s="2"/>
      <c r="I74" s="2"/>
      <c r="J74" s="2"/>
      <c r="K74" s="2">
        <v>40</v>
      </c>
      <c r="L74" s="2">
        <v>11040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>
        <f t="shared" si="2"/>
        <v>0</v>
      </c>
      <c r="Z74" t="e">
        <f t="shared" si="3"/>
        <v>#DIV/0!</v>
      </c>
    </row>
    <row r="75" spans="1:26" x14ac:dyDescent="0.25">
      <c r="A75" s="2" t="s">
        <v>605</v>
      </c>
      <c r="B75" s="8">
        <v>14</v>
      </c>
      <c r="C75" s="2" t="s">
        <v>23</v>
      </c>
      <c r="D75" s="8" t="s">
        <v>20</v>
      </c>
      <c r="E75" s="2">
        <v>17</v>
      </c>
      <c r="F75" s="2">
        <v>26.5</v>
      </c>
      <c r="G75" s="2">
        <v>48</v>
      </c>
      <c r="H75" s="2">
        <v>95</v>
      </c>
      <c r="I75" s="2">
        <v>48</v>
      </c>
      <c r="J75" s="2">
        <v>63</v>
      </c>
      <c r="K75" s="2">
        <v>32</v>
      </c>
      <c r="L75" s="2">
        <v>7370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4</v>
      </c>
      <c r="S75" s="2">
        <v>0</v>
      </c>
      <c r="T75" s="2">
        <v>2</v>
      </c>
      <c r="U75" s="2">
        <v>1</v>
      </c>
      <c r="V75" s="2">
        <v>0</v>
      </c>
      <c r="W75" s="2">
        <v>0</v>
      </c>
      <c r="X75" s="2">
        <v>7</v>
      </c>
      <c r="Y75">
        <f t="shared" si="2"/>
        <v>4</v>
      </c>
      <c r="Z75">
        <f t="shared" si="3"/>
        <v>2.75</v>
      </c>
    </row>
    <row r="76" spans="1:26" x14ac:dyDescent="0.25">
      <c r="A76" s="2" t="s">
        <v>606</v>
      </c>
      <c r="B76" s="8">
        <v>15</v>
      </c>
      <c r="C76" s="2" t="s">
        <v>23</v>
      </c>
      <c r="D76" s="8" t="s">
        <v>20</v>
      </c>
      <c r="E76" s="2">
        <v>19</v>
      </c>
      <c r="F76" s="2">
        <v>28</v>
      </c>
      <c r="G76" s="2">
        <v>62</v>
      </c>
      <c r="H76" s="2">
        <v>165</v>
      </c>
      <c r="I76" s="2">
        <v>53</v>
      </c>
      <c r="J76" s="2">
        <v>74</v>
      </c>
      <c r="K76" s="2">
        <v>33</v>
      </c>
      <c r="L76" s="2">
        <v>8327</v>
      </c>
      <c r="M76" s="2">
        <v>0</v>
      </c>
      <c r="N76" s="2">
        <v>0</v>
      </c>
      <c r="O76" s="2">
        <v>0</v>
      </c>
      <c r="P76" s="2">
        <v>1</v>
      </c>
      <c r="Q76" s="2">
        <v>0</v>
      </c>
      <c r="R76" s="2">
        <v>21</v>
      </c>
      <c r="S76" s="2">
        <v>0</v>
      </c>
      <c r="T76" s="2">
        <v>0</v>
      </c>
      <c r="U76" s="2">
        <v>2</v>
      </c>
      <c r="V76" s="2">
        <v>0</v>
      </c>
      <c r="W76" s="2">
        <v>0</v>
      </c>
      <c r="X76" s="2">
        <v>14</v>
      </c>
      <c r="Y76">
        <f t="shared" si="2"/>
        <v>3</v>
      </c>
      <c r="Z76">
        <f t="shared" si="3"/>
        <v>11.666666666666666</v>
      </c>
    </row>
    <row r="77" spans="1:26" x14ac:dyDescent="0.25">
      <c r="A77" s="2" t="s">
        <v>607</v>
      </c>
      <c r="B77" s="8">
        <v>16</v>
      </c>
      <c r="C77" s="2" t="s">
        <v>23</v>
      </c>
      <c r="D77" s="8" t="s">
        <v>20</v>
      </c>
      <c r="E77" s="2">
        <v>17</v>
      </c>
      <c r="F77" s="2">
        <v>31</v>
      </c>
      <c r="G77" s="2">
        <v>164</v>
      </c>
      <c r="H77" s="2">
        <v>118</v>
      </c>
      <c r="I77" s="2">
        <v>63</v>
      </c>
      <c r="J77" s="2">
        <v>71</v>
      </c>
      <c r="K77" s="2">
        <v>35</v>
      </c>
      <c r="L77" s="2">
        <v>15029</v>
      </c>
      <c r="M77" s="2">
        <v>0</v>
      </c>
      <c r="N77" s="2">
        <v>1</v>
      </c>
      <c r="O77" s="2">
        <v>3</v>
      </c>
      <c r="P77" s="2">
        <v>0</v>
      </c>
      <c r="Q77" s="2">
        <v>0</v>
      </c>
      <c r="R77" s="2">
        <v>37</v>
      </c>
      <c r="S77" s="2">
        <v>1</v>
      </c>
      <c r="T77" s="2">
        <v>1</v>
      </c>
      <c r="U77" s="2">
        <v>2</v>
      </c>
      <c r="V77" s="2">
        <v>0</v>
      </c>
      <c r="W77" s="2">
        <v>0</v>
      </c>
      <c r="X77" s="2">
        <v>38</v>
      </c>
      <c r="Y77">
        <f t="shared" si="2"/>
        <v>8</v>
      </c>
      <c r="Z77">
        <f t="shared" si="3"/>
        <v>9.375</v>
      </c>
    </row>
    <row r="78" spans="1:26" x14ac:dyDescent="0.25">
      <c r="A78" s="2" t="s">
        <v>608</v>
      </c>
      <c r="B78" s="8">
        <v>17</v>
      </c>
      <c r="C78" s="2" t="s">
        <v>23</v>
      </c>
      <c r="D78" s="8" t="s">
        <v>20</v>
      </c>
      <c r="E78" s="2">
        <v>17</v>
      </c>
      <c r="F78" s="2">
        <v>25.5</v>
      </c>
      <c r="G78" s="2">
        <v>70</v>
      </c>
      <c r="H78" s="2">
        <v>128</v>
      </c>
      <c r="I78" s="2">
        <v>81</v>
      </c>
      <c r="J78" s="2">
        <v>89</v>
      </c>
      <c r="K78" s="2">
        <v>33</v>
      </c>
      <c r="L78" s="2">
        <v>9304</v>
      </c>
      <c r="M78" s="2">
        <v>0</v>
      </c>
      <c r="N78" s="2">
        <v>1</v>
      </c>
      <c r="O78" s="2">
        <v>2</v>
      </c>
      <c r="P78" s="2">
        <v>1</v>
      </c>
      <c r="Q78" s="2">
        <v>0</v>
      </c>
      <c r="R78" s="2">
        <v>13</v>
      </c>
      <c r="S78" s="2">
        <v>0</v>
      </c>
      <c r="T78" s="2">
        <v>1</v>
      </c>
      <c r="U78" s="2">
        <v>2</v>
      </c>
      <c r="V78" s="2">
        <v>0</v>
      </c>
      <c r="W78" s="2">
        <v>0</v>
      </c>
      <c r="X78" s="2">
        <v>22</v>
      </c>
      <c r="Y78">
        <f t="shared" si="2"/>
        <v>7</v>
      </c>
      <c r="Z78">
        <f t="shared" si="3"/>
        <v>5</v>
      </c>
    </row>
    <row r="79" spans="1:26" ht="15.75" x14ac:dyDescent="0.25">
      <c r="A79" s="2" t="s">
        <v>609</v>
      </c>
      <c r="B79" s="14">
        <v>18</v>
      </c>
      <c r="C79" s="2" t="s">
        <v>23</v>
      </c>
      <c r="D79" s="8" t="s">
        <v>20</v>
      </c>
      <c r="E79" s="2">
        <v>17</v>
      </c>
      <c r="F79" s="2">
        <v>41</v>
      </c>
      <c r="G79" s="2">
        <v>129</v>
      </c>
      <c r="H79" s="2"/>
      <c r="I79" s="2">
        <v>79</v>
      </c>
      <c r="J79" s="2"/>
      <c r="K79" s="2">
        <v>35</v>
      </c>
      <c r="L79" s="2">
        <v>8356</v>
      </c>
      <c r="M79" s="2">
        <v>1</v>
      </c>
      <c r="N79" s="2">
        <v>0</v>
      </c>
      <c r="O79" s="2">
        <v>1</v>
      </c>
      <c r="P79" s="2">
        <v>0</v>
      </c>
      <c r="Q79" s="2">
        <v>0</v>
      </c>
      <c r="R79" s="2">
        <v>29</v>
      </c>
      <c r="S79" s="2"/>
      <c r="T79" s="2"/>
      <c r="U79" s="2"/>
      <c r="V79" s="2"/>
      <c r="W79" s="2"/>
      <c r="X79" s="2"/>
      <c r="Y79">
        <f t="shared" si="2"/>
        <v>2</v>
      </c>
      <c r="Z79">
        <f t="shared" si="3"/>
        <v>14.5</v>
      </c>
    </row>
    <row r="80" spans="1:26" x14ac:dyDescent="0.25">
      <c r="A80" s="2" t="s">
        <v>610</v>
      </c>
      <c r="B80" s="8">
        <v>19</v>
      </c>
      <c r="C80" s="2" t="s">
        <v>23</v>
      </c>
      <c r="D80" s="8" t="s">
        <v>20</v>
      </c>
      <c r="E80" s="2">
        <v>18.5</v>
      </c>
      <c r="F80" s="2">
        <v>31</v>
      </c>
      <c r="G80" s="2">
        <v>45</v>
      </c>
      <c r="H80" s="2">
        <v>222</v>
      </c>
      <c r="I80" s="2">
        <v>65</v>
      </c>
      <c r="J80" s="2">
        <v>74</v>
      </c>
      <c r="K80" s="2">
        <v>31</v>
      </c>
      <c r="L80" s="2">
        <v>9716</v>
      </c>
      <c r="M80" s="2">
        <v>0</v>
      </c>
      <c r="N80" s="2">
        <v>0</v>
      </c>
      <c r="O80" s="2">
        <v>2</v>
      </c>
      <c r="P80" s="2">
        <v>0</v>
      </c>
      <c r="Q80" s="2">
        <v>0</v>
      </c>
      <c r="R80" s="2">
        <v>5</v>
      </c>
      <c r="S80" s="2">
        <v>0</v>
      </c>
      <c r="T80" s="2">
        <v>1</v>
      </c>
      <c r="U80" s="2">
        <v>2</v>
      </c>
      <c r="V80" s="2">
        <v>0</v>
      </c>
      <c r="W80" s="2">
        <v>0</v>
      </c>
      <c r="X80" s="2">
        <v>19</v>
      </c>
      <c r="Y80">
        <f t="shared" si="2"/>
        <v>5</v>
      </c>
      <c r="Z80">
        <f t="shared" si="3"/>
        <v>4.8</v>
      </c>
    </row>
    <row r="81" spans="1:26" x14ac:dyDescent="0.25">
      <c r="A81" s="2" t="s">
        <v>611</v>
      </c>
      <c r="B81" s="8">
        <v>20</v>
      </c>
      <c r="C81" s="2" t="s">
        <v>23</v>
      </c>
      <c r="D81" s="8" t="s">
        <v>20</v>
      </c>
      <c r="E81" s="2">
        <v>19</v>
      </c>
      <c r="F81" s="2">
        <v>56</v>
      </c>
      <c r="G81" s="2">
        <v>128</v>
      </c>
      <c r="H81" s="2">
        <v>107</v>
      </c>
      <c r="I81" s="2">
        <v>42</v>
      </c>
      <c r="J81" s="2">
        <v>53</v>
      </c>
      <c r="K81" s="2">
        <v>35</v>
      </c>
      <c r="L81" s="2">
        <v>12461</v>
      </c>
      <c r="M81" s="2">
        <v>0</v>
      </c>
      <c r="N81" s="2">
        <v>1</v>
      </c>
      <c r="O81" s="2">
        <v>2</v>
      </c>
      <c r="P81" s="2">
        <v>0</v>
      </c>
      <c r="Q81" s="2">
        <v>0</v>
      </c>
      <c r="R81" s="2">
        <v>22</v>
      </c>
      <c r="S81" s="2">
        <v>0</v>
      </c>
      <c r="T81" s="2">
        <v>0</v>
      </c>
      <c r="U81" s="2">
        <v>6</v>
      </c>
      <c r="V81" s="2">
        <v>0</v>
      </c>
      <c r="W81" s="2">
        <v>0</v>
      </c>
      <c r="X81" s="2">
        <v>64</v>
      </c>
      <c r="Y81">
        <f t="shared" si="2"/>
        <v>9</v>
      </c>
      <c r="Z81">
        <f t="shared" si="3"/>
        <v>9.5555555555555554</v>
      </c>
    </row>
    <row r="82" spans="1:26" x14ac:dyDescent="0.25">
      <c r="A82" s="2" t="s">
        <v>663</v>
      </c>
      <c r="B82" s="8">
        <v>1</v>
      </c>
      <c r="C82" s="2" t="s">
        <v>24</v>
      </c>
      <c r="D82" s="8" t="s">
        <v>20</v>
      </c>
      <c r="E82" s="2">
        <v>14</v>
      </c>
      <c r="F82" s="2">
        <v>34</v>
      </c>
      <c r="G82" s="2">
        <v>31</v>
      </c>
      <c r="H82" s="2">
        <v>139</v>
      </c>
      <c r="I82" s="2">
        <v>40</v>
      </c>
      <c r="J82" s="2">
        <v>47</v>
      </c>
      <c r="K82" s="2">
        <v>33</v>
      </c>
      <c r="L82" s="2">
        <v>7496</v>
      </c>
      <c r="M82" s="2">
        <v>0</v>
      </c>
      <c r="N82" s="2">
        <v>1</v>
      </c>
      <c r="O82" s="2">
        <v>2</v>
      </c>
      <c r="P82" s="2">
        <v>1</v>
      </c>
      <c r="Q82" s="2">
        <v>0</v>
      </c>
      <c r="R82" s="2">
        <v>14</v>
      </c>
      <c r="S82" s="2">
        <v>0</v>
      </c>
      <c r="T82" s="2">
        <v>0</v>
      </c>
      <c r="U82" s="2">
        <v>3</v>
      </c>
      <c r="V82" s="2">
        <v>1</v>
      </c>
      <c r="W82" s="2">
        <v>0</v>
      </c>
      <c r="X82" s="2">
        <v>39</v>
      </c>
      <c r="Y82">
        <f t="shared" si="2"/>
        <v>8</v>
      </c>
      <c r="Z82">
        <f t="shared" si="3"/>
        <v>6.625</v>
      </c>
    </row>
    <row r="83" spans="1:26" x14ac:dyDescent="0.25">
      <c r="A83" s="2" t="s">
        <v>664</v>
      </c>
      <c r="B83" s="8">
        <v>2</v>
      </c>
      <c r="C83" s="2" t="s">
        <v>24</v>
      </c>
      <c r="D83" s="8" t="s">
        <v>20</v>
      </c>
      <c r="E83" s="2">
        <v>13</v>
      </c>
      <c r="F83" s="2">
        <v>32</v>
      </c>
      <c r="G83" s="2">
        <v>98</v>
      </c>
      <c r="H83" s="2">
        <v>124</v>
      </c>
      <c r="I83" s="2">
        <v>66</v>
      </c>
      <c r="J83" s="2">
        <v>65</v>
      </c>
      <c r="K83" s="2">
        <v>35</v>
      </c>
      <c r="L83" s="2">
        <v>12327</v>
      </c>
      <c r="M83" s="2">
        <v>0</v>
      </c>
      <c r="N83" s="2">
        <v>0</v>
      </c>
      <c r="O83" s="2">
        <v>2</v>
      </c>
      <c r="P83" s="2">
        <v>0</v>
      </c>
      <c r="Q83" s="2">
        <v>0</v>
      </c>
      <c r="R83" s="2">
        <v>10</v>
      </c>
      <c r="S83" s="2">
        <v>0</v>
      </c>
      <c r="T83" s="2">
        <v>2</v>
      </c>
      <c r="U83" s="2">
        <v>1</v>
      </c>
      <c r="V83" s="2">
        <v>0</v>
      </c>
      <c r="W83" s="2">
        <v>0</v>
      </c>
      <c r="X83" s="2">
        <v>7</v>
      </c>
      <c r="Y83">
        <f t="shared" si="2"/>
        <v>5</v>
      </c>
      <c r="Z83">
        <f t="shared" si="3"/>
        <v>3.4</v>
      </c>
    </row>
    <row r="84" spans="1:26" x14ac:dyDescent="0.25">
      <c r="A84" s="2" t="s">
        <v>665</v>
      </c>
      <c r="B84" s="8">
        <v>3</v>
      </c>
      <c r="C84" s="2" t="s">
        <v>24</v>
      </c>
      <c r="D84" s="8" t="s">
        <v>20</v>
      </c>
      <c r="E84" s="2">
        <v>16</v>
      </c>
      <c r="F84" s="2">
        <v>26.5</v>
      </c>
      <c r="G84" s="2">
        <v>57</v>
      </c>
      <c r="H84" s="2">
        <v>87</v>
      </c>
      <c r="I84" s="2">
        <v>59</v>
      </c>
      <c r="J84" s="2">
        <v>69</v>
      </c>
      <c r="K84" s="2">
        <v>33</v>
      </c>
      <c r="L84" s="2">
        <v>2930</v>
      </c>
      <c r="M84" s="2">
        <v>1</v>
      </c>
      <c r="N84" s="2">
        <v>0</v>
      </c>
      <c r="O84" s="2">
        <v>4</v>
      </c>
      <c r="P84" s="2">
        <v>1</v>
      </c>
      <c r="Q84" s="2">
        <v>0</v>
      </c>
      <c r="R84" s="2">
        <v>43</v>
      </c>
      <c r="S84" s="2">
        <v>1</v>
      </c>
      <c r="T84" s="2">
        <v>3</v>
      </c>
      <c r="U84" s="2">
        <v>1</v>
      </c>
      <c r="V84" s="2">
        <v>0</v>
      </c>
      <c r="W84" s="2">
        <v>0</v>
      </c>
      <c r="X84" s="2">
        <v>26</v>
      </c>
      <c r="Y84">
        <f t="shared" si="2"/>
        <v>11</v>
      </c>
      <c r="Z84">
        <f t="shared" si="3"/>
        <v>6.2727272727272725</v>
      </c>
    </row>
    <row r="85" spans="1:26" x14ac:dyDescent="0.25">
      <c r="A85" s="2" t="s">
        <v>666</v>
      </c>
      <c r="B85" s="8">
        <v>4</v>
      </c>
      <c r="C85" s="2" t="s">
        <v>24</v>
      </c>
      <c r="D85" s="8" t="s">
        <v>20</v>
      </c>
      <c r="E85" s="2">
        <v>16</v>
      </c>
      <c r="F85" s="2">
        <v>32</v>
      </c>
      <c r="G85" s="2">
        <v>36</v>
      </c>
      <c r="H85" s="2">
        <v>85</v>
      </c>
      <c r="I85" s="2">
        <v>57</v>
      </c>
      <c r="J85" s="2">
        <v>59</v>
      </c>
      <c r="K85" s="2">
        <v>33</v>
      </c>
      <c r="L85" s="2">
        <v>4717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3</v>
      </c>
      <c r="S85" s="2">
        <v>0</v>
      </c>
      <c r="T85" s="2">
        <v>3</v>
      </c>
      <c r="U85" s="2">
        <v>1</v>
      </c>
      <c r="V85" s="2">
        <v>0</v>
      </c>
      <c r="W85" s="2">
        <v>0</v>
      </c>
      <c r="X85" s="2">
        <v>12</v>
      </c>
      <c r="Y85">
        <f t="shared" si="2"/>
        <v>5</v>
      </c>
      <c r="Z85">
        <f t="shared" si="3"/>
        <v>3</v>
      </c>
    </row>
    <row r="86" spans="1:26" x14ac:dyDescent="0.25">
      <c r="A86" s="2" t="s">
        <v>667</v>
      </c>
      <c r="B86" s="8">
        <v>5</v>
      </c>
      <c r="C86" s="2" t="s">
        <v>24</v>
      </c>
      <c r="D86" s="8" t="s">
        <v>20</v>
      </c>
      <c r="E86" s="2">
        <v>12</v>
      </c>
      <c r="F86" s="2">
        <v>36</v>
      </c>
      <c r="G86" s="2"/>
      <c r="H86" s="2">
        <v>112</v>
      </c>
      <c r="I86" s="2"/>
      <c r="J86" s="2">
        <v>68</v>
      </c>
      <c r="K86" s="2">
        <v>34</v>
      </c>
      <c r="L86" s="2">
        <v>8267</v>
      </c>
      <c r="M86" s="2"/>
      <c r="N86" s="2"/>
      <c r="O86" s="2"/>
      <c r="P86" s="2"/>
      <c r="Q86" s="2"/>
      <c r="R86" s="2"/>
      <c r="S86" s="2">
        <v>0</v>
      </c>
      <c r="T86" s="2">
        <v>2</v>
      </c>
      <c r="U86" s="2">
        <v>0</v>
      </c>
      <c r="V86" s="2">
        <v>0</v>
      </c>
      <c r="W86" s="2">
        <v>0</v>
      </c>
      <c r="X86" s="2">
        <v>2</v>
      </c>
      <c r="Y86">
        <f t="shared" si="2"/>
        <v>2</v>
      </c>
      <c r="Z86">
        <f t="shared" si="3"/>
        <v>1</v>
      </c>
    </row>
    <row r="87" spans="1:26" x14ac:dyDescent="0.25">
      <c r="A87" s="2" t="s">
        <v>668</v>
      </c>
      <c r="B87" s="8">
        <v>6</v>
      </c>
      <c r="C87" s="2" t="s">
        <v>24</v>
      </c>
      <c r="D87" s="8" t="s">
        <v>20</v>
      </c>
      <c r="E87" s="2">
        <v>15</v>
      </c>
      <c r="F87" s="2">
        <v>23.5</v>
      </c>
      <c r="G87" s="2">
        <v>45</v>
      </c>
      <c r="H87" s="2">
        <v>161</v>
      </c>
      <c r="I87" s="2">
        <v>47</v>
      </c>
      <c r="J87" s="2">
        <v>63</v>
      </c>
      <c r="K87" s="2">
        <v>31</v>
      </c>
      <c r="L87" s="2">
        <v>5904</v>
      </c>
      <c r="M87" s="2">
        <v>0</v>
      </c>
      <c r="N87" s="2">
        <v>0</v>
      </c>
      <c r="O87" s="2">
        <v>1</v>
      </c>
      <c r="P87" s="2">
        <v>0</v>
      </c>
      <c r="Q87" s="2">
        <v>0</v>
      </c>
      <c r="R87" s="2">
        <v>2</v>
      </c>
      <c r="S87" s="2">
        <v>1</v>
      </c>
      <c r="T87" s="2">
        <v>1</v>
      </c>
      <c r="U87" s="2">
        <v>0</v>
      </c>
      <c r="V87" s="2">
        <v>1</v>
      </c>
      <c r="W87" s="2">
        <v>0</v>
      </c>
      <c r="X87" s="2">
        <v>19</v>
      </c>
      <c r="Y87">
        <f t="shared" si="2"/>
        <v>4</v>
      </c>
      <c r="Z87">
        <f t="shared" si="3"/>
        <v>5.25</v>
      </c>
    </row>
    <row r="88" spans="1:26" x14ac:dyDescent="0.25">
      <c r="A88" s="2" t="s">
        <v>669</v>
      </c>
      <c r="B88" s="8">
        <v>7</v>
      </c>
      <c r="C88" s="2" t="s">
        <v>24</v>
      </c>
      <c r="D88" s="8" t="s">
        <v>20</v>
      </c>
      <c r="E88" s="2">
        <v>14</v>
      </c>
      <c r="F88" s="2">
        <v>37</v>
      </c>
      <c r="G88" s="2">
        <v>71</v>
      </c>
      <c r="H88" s="2">
        <v>112</v>
      </c>
      <c r="I88" s="2">
        <v>71</v>
      </c>
      <c r="J88" s="2">
        <v>87</v>
      </c>
      <c r="K88" s="2">
        <v>38</v>
      </c>
      <c r="L88" s="2">
        <v>22895</v>
      </c>
      <c r="M88" s="2">
        <v>0</v>
      </c>
      <c r="N88" s="2">
        <v>5</v>
      </c>
      <c r="O88" s="2">
        <v>2</v>
      </c>
      <c r="P88" s="2">
        <v>0</v>
      </c>
      <c r="Q88" s="2">
        <v>0</v>
      </c>
      <c r="R88" s="2">
        <v>13</v>
      </c>
      <c r="S88" s="2">
        <v>0</v>
      </c>
      <c r="T88" s="2">
        <v>1</v>
      </c>
      <c r="U88" s="2">
        <v>3</v>
      </c>
      <c r="V88" s="2">
        <v>0</v>
      </c>
      <c r="W88" s="2">
        <v>0</v>
      </c>
      <c r="X88" s="2">
        <v>74</v>
      </c>
      <c r="Y88">
        <f t="shared" si="2"/>
        <v>11</v>
      </c>
      <c r="Z88">
        <f t="shared" si="3"/>
        <v>7.9090909090909092</v>
      </c>
    </row>
    <row r="89" spans="1:26" x14ac:dyDescent="0.25">
      <c r="A89" s="2" t="s">
        <v>670</v>
      </c>
      <c r="B89" s="8">
        <v>8</v>
      </c>
      <c r="C89" s="2" t="s">
        <v>24</v>
      </c>
      <c r="D89" s="8" t="s">
        <v>20</v>
      </c>
      <c r="E89" s="2">
        <v>12</v>
      </c>
      <c r="F89" s="2">
        <v>35</v>
      </c>
      <c r="G89" s="2"/>
      <c r="H89" s="2">
        <v>100</v>
      </c>
      <c r="I89" s="2"/>
      <c r="J89" s="2">
        <v>59</v>
      </c>
      <c r="K89" s="2">
        <v>34</v>
      </c>
      <c r="L89" s="2">
        <v>4117</v>
      </c>
      <c r="M89" s="2"/>
      <c r="N89" s="2"/>
      <c r="O89" s="2"/>
      <c r="P89" s="2"/>
      <c r="Q89" s="2"/>
      <c r="R89" s="2"/>
      <c r="S89" s="2">
        <v>0</v>
      </c>
      <c r="T89" s="2">
        <v>5</v>
      </c>
      <c r="U89" s="2">
        <v>0</v>
      </c>
      <c r="V89" s="2">
        <v>0</v>
      </c>
      <c r="W89" s="2">
        <v>0</v>
      </c>
      <c r="X89" s="2">
        <v>5</v>
      </c>
      <c r="Y89">
        <f t="shared" si="2"/>
        <v>5</v>
      </c>
      <c r="Z89">
        <f t="shared" si="3"/>
        <v>1</v>
      </c>
    </row>
    <row r="90" spans="1:26" x14ac:dyDescent="0.25">
      <c r="A90" s="2" t="s">
        <v>671</v>
      </c>
      <c r="B90" s="8">
        <v>9</v>
      </c>
      <c r="C90" s="2" t="s">
        <v>24</v>
      </c>
      <c r="D90" s="8" t="s">
        <v>20</v>
      </c>
      <c r="E90" s="2">
        <v>15</v>
      </c>
      <c r="F90" s="2">
        <v>22</v>
      </c>
      <c r="G90" s="2"/>
      <c r="H90" s="2">
        <v>52</v>
      </c>
      <c r="I90" s="2"/>
      <c r="J90" s="2">
        <v>67</v>
      </c>
      <c r="K90" s="2">
        <v>32</v>
      </c>
      <c r="L90" s="2">
        <v>16372</v>
      </c>
      <c r="M90" s="2"/>
      <c r="N90" s="2"/>
      <c r="O90" s="2"/>
      <c r="P90" s="2"/>
      <c r="Q90" s="2"/>
      <c r="R90" s="2"/>
      <c r="S90" s="2">
        <v>0</v>
      </c>
      <c r="T90" s="2">
        <v>1</v>
      </c>
      <c r="U90" s="2">
        <v>2</v>
      </c>
      <c r="V90" s="2">
        <v>0</v>
      </c>
      <c r="W90" s="2">
        <v>0</v>
      </c>
      <c r="X90" s="2">
        <v>5</v>
      </c>
      <c r="Y90">
        <f t="shared" si="2"/>
        <v>3</v>
      </c>
      <c r="Z90">
        <f t="shared" si="3"/>
        <v>1.6666666666666667</v>
      </c>
    </row>
    <row r="91" spans="1:26" x14ac:dyDescent="0.25">
      <c r="A91" s="2" t="s">
        <v>794</v>
      </c>
      <c r="B91" s="8">
        <v>10</v>
      </c>
      <c r="C91" s="2" t="s">
        <v>24</v>
      </c>
      <c r="D91" s="8" t="s">
        <v>20</v>
      </c>
      <c r="E91" s="2">
        <v>21</v>
      </c>
      <c r="F91" s="2">
        <v>49</v>
      </c>
      <c r="G91" s="2">
        <v>55</v>
      </c>
      <c r="H91" s="2"/>
      <c r="I91" s="2">
        <v>60</v>
      </c>
      <c r="J91" s="2"/>
      <c r="K91" s="2">
        <v>40</v>
      </c>
      <c r="L91" s="2">
        <v>10561</v>
      </c>
      <c r="M91" s="2">
        <v>0</v>
      </c>
      <c r="N91" s="2">
        <v>4</v>
      </c>
      <c r="O91" s="2">
        <v>0</v>
      </c>
      <c r="P91" s="2">
        <v>0</v>
      </c>
      <c r="Q91" s="2">
        <v>0</v>
      </c>
      <c r="R91" s="2">
        <v>9</v>
      </c>
      <c r="S91" s="2"/>
      <c r="T91" s="2"/>
      <c r="U91" s="2"/>
      <c r="V91" s="2"/>
      <c r="W91" s="2"/>
      <c r="X91" s="2"/>
      <c r="Y91">
        <f t="shared" si="2"/>
        <v>4</v>
      </c>
      <c r="Z91">
        <f t="shared" si="3"/>
        <v>2.25</v>
      </c>
    </row>
    <row r="92" spans="1:26" x14ac:dyDescent="0.25">
      <c r="A92" s="2" t="s">
        <v>672</v>
      </c>
      <c r="B92" s="8">
        <v>11</v>
      </c>
      <c r="C92" s="2" t="s">
        <v>24</v>
      </c>
      <c r="D92" s="8" t="s">
        <v>20</v>
      </c>
      <c r="E92" s="2">
        <v>16</v>
      </c>
      <c r="F92" s="2">
        <v>32</v>
      </c>
      <c r="G92" s="2">
        <v>79</v>
      </c>
      <c r="H92" s="2">
        <v>133</v>
      </c>
      <c r="I92" s="2">
        <v>57</v>
      </c>
      <c r="J92" s="2">
        <v>64</v>
      </c>
      <c r="K92" s="2">
        <v>35</v>
      </c>
      <c r="L92" s="2">
        <v>4583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2</v>
      </c>
      <c r="S92" s="2">
        <v>0</v>
      </c>
      <c r="T92" s="2">
        <v>0</v>
      </c>
      <c r="U92" s="2">
        <v>3</v>
      </c>
      <c r="V92" s="2">
        <v>0</v>
      </c>
      <c r="W92" s="2">
        <v>0</v>
      </c>
      <c r="X92" s="2">
        <v>47</v>
      </c>
      <c r="Y92">
        <f t="shared" si="2"/>
        <v>4</v>
      </c>
      <c r="Z92">
        <f t="shared" si="3"/>
        <v>12.25</v>
      </c>
    </row>
    <row r="93" spans="1:26" x14ac:dyDescent="0.25">
      <c r="A93" s="2" t="s">
        <v>673</v>
      </c>
      <c r="B93" s="8">
        <v>12</v>
      </c>
      <c r="C93" s="2" t="s">
        <v>24</v>
      </c>
      <c r="D93" s="8" t="s">
        <v>20</v>
      </c>
      <c r="E93" s="2">
        <v>14.5</v>
      </c>
      <c r="F93" s="2">
        <v>29</v>
      </c>
      <c r="G93" s="2">
        <v>56</v>
      </c>
      <c r="H93" s="2">
        <v>119</v>
      </c>
      <c r="I93" s="2">
        <v>45</v>
      </c>
      <c r="J93" s="2">
        <v>53</v>
      </c>
      <c r="K93" s="2">
        <v>33</v>
      </c>
      <c r="L93" s="2">
        <v>10394</v>
      </c>
      <c r="M93" s="2">
        <v>1</v>
      </c>
      <c r="N93" s="2">
        <v>0</v>
      </c>
      <c r="O93" s="2">
        <v>1</v>
      </c>
      <c r="P93" s="2">
        <v>0</v>
      </c>
      <c r="Q93" s="2">
        <v>0</v>
      </c>
      <c r="R93" s="2">
        <v>19</v>
      </c>
      <c r="S93" s="2">
        <v>0</v>
      </c>
      <c r="T93" s="2">
        <v>6</v>
      </c>
      <c r="U93" s="2">
        <v>0</v>
      </c>
      <c r="V93" s="2">
        <v>1</v>
      </c>
      <c r="W93" s="2">
        <v>0</v>
      </c>
      <c r="X93" s="2">
        <v>14</v>
      </c>
      <c r="Y93">
        <f t="shared" si="2"/>
        <v>9</v>
      </c>
      <c r="Z93">
        <f t="shared" si="3"/>
        <v>3.6666666666666665</v>
      </c>
    </row>
    <row r="94" spans="1:26" x14ac:dyDescent="0.25">
      <c r="A94" s="2" t="s">
        <v>674</v>
      </c>
      <c r="B94" s="8">
        <v>13</v>
      </c>
      <c r="C94" s="2" t="s">
        <v>24</v>
      </c>
      <c r="D94" s="8" t="s">
        <v>20</v>
      </c>
      <c r="E94" s="2">
        <v>12</v>
      </c>
      <c r="F94" s="2">
        <v>33.5</v>
      </c>
      <c r="G94" s="2">
        <v>45</v>
      </c>
      <c r="H94" s="2">
        <v>52</v>
      </c>
      <c r="I94" s="2">
        <v>37</v>
      </c>
      <c r="J94" s="2">
        <v>70</v>
      </c>
      <c r="K94" s="2">
        <v>41</v>
      </c>
      <c r="L94" s="2">
        <v>732</v>
      </c>
      <c r="M94" s="2">
        <v>0</v>
      </c>
      <c r="N94" s="2">
        <v>1</v>
      </c>
      <c r="O94" s="2">
        <v>3</v>
      </c>
      <c r="P94" s="2">
        <v>0</v>
      </c>
      <c r="Q94" s="2">
        <v>0</v>
      </c>
      <c r="R94" s="2">
        <v>9</v>
      </c>
      <c r="S94" s="2">
        <v>1</v>
      </c>
      <c r="T94" s="2">
        <v>5</v>
      </c>
      <c r="U94" s="2">
        <v>0</v>
      </c>
      <c r="V94" s="2">
        <v>1</v>
      </c>
      <c r="W94" s="2">
        <v>0</v>
      </c>
      <c r="X94" s="2">
        <v>10</v>
      </c>
      <c r="Y94">
        <f t="shared" si="2"/>
        <v>11</v>
      </c>
      <c r="Z94">
        <f t="shared" si="3"/>
        <v>1.7272727272727273</v>
      </c>
    </row>
    <row r="95" spans="1:26" ht="15.75" x14ac:dyDescent="0.25">
      <c r="A95" s="2" t="s">
        <v>675</v>
      </c>
      <c r="B95" s="14">
        <v>14</v>
      </c>
      <c r="C95" s="2" t="s">
        <v>24</v>
      </c>
      <c r="D95" s="8" t="s">
        <v>20</v>
      </c>
      <c r="E95" s="2">
        <v>11</v>
      </c>
      <c r="F95" s="2">
        <v>30.5</v>
      </c>
      <c r="G95" s="2">
        <v>28</v>
      </c>
      <c r="H95" s="2">
        <v>57</v>
      </c>
      <c r="I95" s="2">
        <v>48</v>
      </c>
      <c r="J95" s="2">
        <v>59</v>
      </c>
      <c r="K95" s="2">
        <v>35</v>
      </c>
      <c r="L95" s="2">
        <v>3051</v>
      </c>
      <c r="M95" s="2">
        <v>0</v>
      </c>
      <c r="N95" s="2">
        <v>2</v>
      </c>
      <c r="O95" s="2">
        <v>0</v>
      </c>
      <c r="P95" s="2">
        <v>0</v>
      </c>
      <c r="Q95" s="2">
        <v>0</v>
      </c>
      <c r="R95" s="2">
        <v>5</v>
      </c>
      <c r="S95" s="2">
        <v>0</v>
      </c>
      <c r="T95" s="2">
        <v>0</v>
      </c>
      <c r="U95" s="2">
        <v>2</v>
      </c>
      <c r="V95" s="2">
        <v>0</v>
      </c>
      <c r="W95" s="2">
        <v>0</v>
      </c>
      <c r="X95" s="2">
        <v>5</v>
      </c>
      <c r="Y95">
        <f t="shared" si="2"/>
        <v>4</v>
      </c>
      <c r="Z95">
        <f t="shared" si="3"/>
        <v>2.5</v>
      </c>
    </row>
    <row r="96" spans="1:26" x14ac:dyDescent="0.25">
      <c r="A96" s="2" t="s">
        <v>676</v>
      </c>
      <c r="B96" s="8">
        <v>15</v>
      </c>
      <c r="C96" s="2" t="s">
        <v>24</v>
      </c>
      <c r="D96" s="8" t="s">
        <v>20</v>
      </c>
      <c r="E96" s="2">
        <v>17</v>
      </c>
      <c r="F96" s="2">
        <v>43</v>
      </c>
      <c r="G96" s="2">
        <v>68</v>
      </c>
      <c r="H96" s="2">
        <v>114</v>
      </c>
      <c r="I96" s="2">
        <v>73</v>
      </c>
      <c r="J96" s="2">
        <v>63</v>
      </c>
      <c r="K96" s="2">
        <v>35</v>
      </c>
      <c r="L96" s="2">
        <v>27502</v>
      </c>
      <c r="M96" s="2">
        <v>0</v>
      </c>
      <c r="N96" s="2">
        <v>3</v>
      </c>
      <c r="O96" s="2">
        <v>1</v>
      </c>
      <c r="P96" s="2">
        <v>0</v>
      </c>
      <c r="Q96" s="2">
        <v>0</v>
      </c>
      <c r="R96" s="2">
        <v>25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3</v>
      </c>
      <c r="Y96">
        <f t="shared" si="2"/>
        <v>5</v>
      </c>
      <c r="Z96">
        <f t="shared" si="3"/>
        <v>5.6</v>
      </c>
    </row>
    <row r="97" spans="1:26" x14ac:dyDescent="0.25">
      <c r="A97" s="2" t="s">
        <v>677</v>
      </c>
      <c r="B97" s="8">
        <v>16</v>
      </c>
      <c r="C97" s="2" t="s">
        <v>24</v>
      </c>
      <c r="D97" s="8" t="s">
        <v>20</v>
      </c>
      <c r="E97" s="2">
        <v>17</v>
      </c>
      <c r="F97" s="2">
        <v>28</v>
      </c>
      <c r="G97" s="2"/>
      <c r="H97" s="2">
        <v>216</v>
      </c>
      <c r="I97" s="2"/>
      <c r="J97" s="2">
        <v>56</v>
      </c>
      <c r="K97" s="2">
        <v>36</v>
      </c>
      <c r="L97" s="2">
        <v>9679</v>
      </c>
      <c r="M97" s="2"/>
      <c r="N97" s="2"/>
      <c r="O97" s="2"/>
      <c r="P97" s="2"/>
      <c r="Q97" s="2"/>
      <c r="R97" s="2"/>
      <c r="S97" s="2">
        <v>0</v>
      </c>
      <c r="T97" s="2">
        <v>1</v>
      </c>
      <c r="U97" s="2">
        <v>3</v>
      </c>
      <c r="V97" s="2">
        <v>1</v>
      </c>
      <c r="W97" s="2">
        <v>0</v>
      </c>
      <c r="X97" s="2">
        <v>133</v>
      </c>
      <c r="Y97">
        <f t="shared" si="2"/>
        <v>5</v>
      </c>
      <c r="Z97">
        <f t="shared" si="3"/>
        <v>26.6</v>
      </c>
    </row>
    <row r="98" spans="1:26" x14ac:dyDescent="0.25">
      <c r="A98" s="2" t="s">
        <v>678</v>
      </c>
      <c r="B98" s="8">
        <v>17</v>
      </c>
      <c r="C98" s="2" t="s">
        <v>24</v>
      </c>
      <c r="D98" s="8" t="s">
        <v>20</v>
      </c>
      <c r="E98" s="2">
        <v>17</v>
      </c>
      <c r="F98" s="2">
        <v>42</v>
      </c>
      <c r="G98" s="2"/>
      <c r="H98" s="2">
        <v>138</v>
      </c>
      <c r="I98" s="2"/>
      <c r="J98" s="2">
        <v>71</v>
      </c>
      <c r="K98" s="2">
        <v>34</v>
      </c>
      <c r="L98" s="2">
        <v>22203</v>
      </c>
      <c r="M98" s="2"/>
      <c r="N98" s="2"/>
      <c r="O98" s="2"/>
      <c r="P98" s="2"/>
      <c r="Q98" s="2"/>
      <c r="R98" s="2"/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5</v>
      </c>
      <c r="Y98">
        <f t="shared" si="2"/>
        <v>1</v>
      </c>
      <c r="Z98">
        <f t="shared" si="3"/>
        <v>5</v>
      </c>
    </row>
    <row r="99" spans="1:26" x14ac:dyDescent="0.25">
      <c r="A99" s="2" t="s">
        <v>679</v>
      </c>
      <c r="B99" s="8">
        <v>18</v>
      </c>
      <c r="C99" s="2" t="s">
        <v>24</v>
      </c>
      <c r="D99" s="8" t="s">
        <v>20</v>
      </c>
      <c r="E99" s="2">
        <v>16</v>
      </c>
      <c r="F99" s="2">
        <v>28</v>
      </c>
      <c r="G99" s="2">
        <v>33</v>
      </c>
      <c r="H99" s="2">
        <v>127</v>
      </c>
      <c r="I99" s="2">
        <v>44</v>
      </c>
      <c r="J99" s="2">
        <v>60</v>
      </c>
      <c r="K99" s="2">
        <v>31</v>
      </c>
      <c r="L99" s="2">
        <v>10294</v>
      </c>
      <c r="M99" s="2">
        <v>0</v>
      </c>
      <c r="N99" s="2">
        <v>0</v>
      </c>
      <c r="O99" s="2">
        <v>0</v>
      </c>
      <c r="P99" s="2">
        <v>1</v>
      </c>
      <c r="Q99" s="2">
        <v>0</v>
      </c>
      <c r="R99" s="2">
        <v>3</v>
      </c>
      <c r="S99" s="2">
        <v>0</v>
      </c>
      <c r="T99" s="2">
        <v>2</v>
      </c>
      <c r="U99" s="2">
        <v>4</v>
      </c>
      <c r="V99" s="2">
        <v>0</v>
      </c>
      <c r="W99" s="2">
        <v>0</v>
      </c>
      <c r="X99" s="2">
        <v>27</v>
      </c>
      <c r="Y99">
        <f t="shared" si="2"/>
        <v>7</v>
      </c>
      <c r="Z99">
        <f t="shared" si="3"/>
        <v>4.2857142857142856</v>
      </c>
    </row>
    <row r="100" spans="1:26" x14ac:dyDescent="0.25">
      <c r="A100" s="2" t="s">
        <v>680</v>
      </c>
      <c r="B100" s="8">
        <v>19</v>
      </c>
      <c r="C100" s="2" t="s">
        <v>24</v>
      </c>
      <c r="D100" s="8" t="s">
        <v>20</v>
      </c>
      <c r="E100" s="2">
        <v>14</v>
      </c>
      <c r="F100" s="2">
        <v>30</v>
      </c>
      <c r="G100" s="2">
        <v>41</v>
      </c>
      <c r="H100" s="2">
        <v>65</v>
      </c>
      <c r="I100" s="2">
        <v>45</v>
      </c>
      <c r="J100" s="2">
        <v>56</v>
      </c>
      <c r="K100" s="2">
        <v>33</v>
      </c>
      <c r="L100" s="2">
        <v>14433</v>
      </c>
      <c r="M100" s="2">
        <v>0</v>
      </c>
      <c r="N100" s="2">
        <v>0</v>
      </c>
      <c r="O100" s="2">
        <v>2</v>
      </c>
      <c r="P100" s="2">
        <v>0</v>
      </c>
      <c r="Q100" s="2">
        <v>0</v>
      </c>
      <c r="R100" s="2">
        <v>25</v>
      </c>
      <c r="S100" s="2">
        <v>0</v>
      </c>
      <c r="T100" s="2">
        <v>3</v>
      </c>
      <c r="U100" s="2">
        <v>1</v>
      </c>
      <c r="V100" s="2">
        <v>0</v>
      </c>
      <c r="W100" s="2">
        <v>0</v>
      </c>
      <c r="X100" s="2">
        <v>13</v>
      </c>
      <c r="Y100">
        <f t="shared" si="2"/>
        <v>6</v>
      </c>
      <c r="Z100">
        <f t="shared" si="3"/>
        <v>6.333333333333333</v>
      </c>
    </row>
    <row r="101" spans="1:26" x14ac:dyDescent="0.25">
      <c r="A101" s="2" t="s">
        <v>681</v>
      </c>
      <c r="B101" s="8">
        <v>20</v>
      </c>
      <c r="C101" s="2" t="s">
        <v>24</v>
      </c>
      <c r="D101" s="8" t="s">
        <v>20</v>
      </c>
      <c r="E101" s="2">
        <v>14</v>
      </c>
      <c r="F101" s="2">
        <v>27</v>
      </c>
      <c r="G101" s="2"/>
      <c r="H101" s="2">
        <v>122</v>
      </c>
      <c r="I101" s="2"/>
      <c r="J101" s="2">
        <v>72</v>
      </c>
      <c r="K101" s="2">
        <v>34</v>
      </c>
      <c r="L101" s="2">
        <v>10954</v>
      </c>
      <c r="M101" s="2"/>
      <c r="N101" s="2"/>
      <c r="O101" s="2"/>
      <c r="P101" s="2"/>
      <c r="Q101" s="2"/>
      <c r="R101" s="2"/>
      <c r="S101" s="2">
        <v>0</v>
      </c>
      <c r="T101" s="2">
        <v>4</v>
      </c>
      <c r="U101" s="2">
        <v>0</v>
      </c>
      <c r="V101" s="2">
        <v>0</v>
      </c>
      <c r="W101" s="2">
        <v>0</v>
      </c>
      <c r="X101" s="2">
        <v>18</v>
      </c>
      <c r="Y101">
        <f t="shared" si="2"/>
        <v>4</v>
      </c>
      <c r="Z101">
        <f t="shared" si="3"/>
        <v>4.5</v>
      </c>
    </row>
    <row r="102" spans="1:26" x14ac:dyDescent="0.25">
      <c r="A102" s="2" t="s">
        <v>724</v>
      </c>
      <c r="B102" s="8">
        <v>1</v>
      </c>
      <c r="C102" s="2" t="s">
        <v>25</v>
      </c>
      <c r="D102" s="8" t="s">
        <v>20</v>
      </c>
      <c r="E102" s="2">
        <v>11</v>
      </c>
      <c r="F102" s="2">
        <v>23</v>
      </c>
      <c r="G102" s="2">
        <v>48</v>
      </c>
      <c r="H102" s="2">
        <v>63</v>
      </c>
      <c r="I102" s="2">
        <v>37</v>
      </c>
      <c r="J102" s="2">
        <v>43</v>
      </c>
      <c r="K102" s="2">
        <v>33</v>
      </c>
      <c r="L102" s="2">
        <v>2514</v>
      </c>
      <c r="M102" s="2">
        <v>0</v>
      </c>
      <c r="N102" s="2">
        <v>0</v>
      </c>
      <c r="O102" s="2">
        <v>1</v>
      </c>
      <c r="P102" s="2">
        <v>0</v>
      </c>
      <c r="Q102" s="2">
        <v>0</v>
      </c>
      <c r="R102" s="2">
        <v>7</v>
      </c>
      <c r="S102" s="2">
        <v>0</v>
      </c>
      <c r="T102" s="2">
        <v>2</v>
      </c>
      <c r="U102" s="2">
        <v>0</v>
      </c>
      <c r="V102" s="2">
        <v>0</v>
      </c>
      <c r="W102" s="2">
        <v>0</v>
      </c>
      <c r="X102" s="2">
        <v>31</v>
      </c>
      <c r="Y102">
        <f t="shared" si="2"/>
        <v>3</v>
      </c>
      <c r="Z102">
        <f t="shared" si="3"/>
        <v>12.666666666666666</v>
      </c>
    </row>
    <row r="103" spans="1:26" x14ac:dyDescent="0.25">
      <c r="A103" s="2" t="s">
        <v>725</v>
      </c>
      <c r="B103" s="8">
        <v>2</v>
      </c>
      <c r="C103" s="2" t="s">
        <v>25</v>
      </c>
      <c r="D103" s="8" t="s">
        <v>20</v>
      </c>
      <c r="E103" s="2">
        <v>18</v>
      </c>
      <c r="F103" s="2">
        <v>29</v>
      </c>
      <c r="G103" s="2">
        <v>21</v>
      </c>
      <c r="H103" s="2">
        <v>190</v>
      </c>
      <c r="I103" s="2">
        <v>32</v>
      </c>
      <c r="J103" s="2">
        <v>75</v>
      </c>
      <c r="K103" s="2">
        <v>33</v>
      </c>
      <c r="L103" s="2">
        <v>1715</v>
      </c>
      <c r="M103" s="2">
        <v>0</v>
      </c>
      <c r="N103" s="2">
        <v>3</v>
      </c>
      <c r="O103" s="2">
        <v>1</v>
      </c>
      <c r="P103" s="2">
        <v>1</v>
      </c>
      <c r="Q103" s="2">
        <v>0</v>
      </c>
      <c r="R103" s="2">
        <v>9</v>
      </c>
      <c r="S103" s="2">
        <v>0</v>
      </c>
      <c r="T103" s="2">
        <v>2</v>
      </c>
      <c r="U103" s="2">
        <v>2</v>
      </c>
      <c r="V103" s="2">
        <v>0</v>
      </c>
      <c r="W103" s="2">
        <v>0</v>
      </c>
      <c r="X103" s="2">
        <v>26</v>
      </c>
      <c r="Y103">
        <f t="shared" si="2"/>
        <v>9</v>
      </c>
      <c r="Z103">
        <f t="shared" si="3"/>
        <v>3.8888888888888888</v>
      </c>
    </row>
    <row r="104" spans="1:26" x14ac:dyDescent="0.25">
      <c r="A104" s="2" t="s">
        <v>726</v>
      </c>
      <c r="B104" s="8">
        <v>3</v>
      </c>
      <c r="C104" s="2" t="s">
        <v>25</v>
      </c>
      <c r="D104" s="8" t="s">
        <v>20</v>
      </c>
      <c r="E104" s="2">
        <v>10.5</v>
      </c>
      <c r="F104" s="2">
        <v>26.5</v>
      </c>
      <c r="G104" s="2">
        <v>20</v>
      </c>
      <c r="H104" s="2">
        <v>71</v>
      </c>
      <c r="I104" s="2">
        <v>44</v>
      </c>
      <c r="J104" s="2">
        <v>58</v>
      </c>
      <c r="K104" s="2">
        <v>33</v>
      </c>
      <c r="L104" s="2">
        <v>4319</v>
      </c>
      <c r="M104" s="2">
        <v>0</v>
      </c>
      <c r="N104" s="2">
        <v>0</v>
      </c>
      <c r="O104" s="2">
        <v>2</v>
      </c>
      <c r="P104" s="2">
        <v>0</v>
      </c>
      <c r="Q104" s="2">
        <v>0</v>
      </c>
      <c r="R104" s="2">
        <v>4</v>
      </c>
      <c r="S104" s="2">
        <v>0</v>
      </c>
      <c r="T104" s="2">
        <v>1</v>
      </c>
      <c r="U104" s="2">
        <v>0</v>
      </c>
      <c r="V104" s="2">
        <v>0</v>
      </c>
      <c r="W104" s="2">
        <v>0</v>
      </c>
      <c r="X104" s="2">
        <v>12</v>
      </c>
      <c r="Y104">
        <f t="shared" si="2"/>
        <v>3</v>
      </c>
      <c r="Z104">
        <f t="shared" si="3"/>
        <v>5.333333333333333</v>
      </c>
    </row>
    <row r="105" spans="1:26" x14ac:dyDescent="0.25">
      <c r="A105" s="2" t="s">
        <v>727</v>
      </c>
      <c r="B105" s="8">
        <v>4</v>
      </c>
      <c r="C105" s="2" t="s">
        <v>25</v>
      </c>
      <c r="D105" s="8" t="s">
        <v>20</v>
      </c>
      <c r="E105" s="2">
        <v>17</v>
      </c>
      <c r="F105" s="2">
        <v>27</v>
      </c>
      <c r="G105" s="2">
        <v>40</v>
      </c>
      <c r="H105" s="2">
        <v>87</v>
      </c>
      <c r="I105" s="2">
        <v>35</v>
      </c>
      <c r="J105" s="2">
        <v>38</v>
      </c>
      <c r="K105" s="2">
        <v>33</v>
      </c>
      <c r="L105" s="2">
        <v>5044</v>
      </c>
      <c r="M105" s="2">
        <v>2</v>
      </c>
      <c r="N105" s="2">
        <v>0</v>
      </c>
      <c r="O105" s="2">
        <v>2</v>
      </c>
      <c r="P105" s="2">
        <v>0</v>
      </c>
      <c r="Q105" s="2">
        <v>0</v>
      </c>
      <c r="R105" s="2">
        <v>20</v>
      </c>
      <c r="S105" s="2">
        <v>0</v>
      </c>
      <c r="T105" s="2">
        <v>1</v>
      </c>
      <c r="U105" s="2">
        <v>1</v>
      </c>
      <c r="V105" s="2">
        <v>0</v>
      </c>
      <c r="W105" s="2">
        <v>0</v>
      </c>
      <c r="X105" s="2">
        <v>12</v>
      </c>
      <c r="Y105">
        <f t="shared" si="2"/>
        <v>6</v>
      </c>
      <c r="Z105">
        <f t="shared" si="3"/>
        <v>5.333333333333333</v>
      </c>
    </row>
    <row r="106" spans="1:26" x14ac:dyDescent="0.25">
      <c r="A106" s="2" t="s">
        <v>728</v>
      </c>
      <c r="B106" s="8">
        <v>5</v>
      </c>
      <c r="C106" s="2" t="s">
        <v>25</v>
      </c>
      <c r="D106" s="8" t="s">
        <v>20</v>
      </c>
      <c r="E106" s="2">
        <v>19</v>
      </c>
      <c r="F106" s="2" t="s">
        <v>21</v>
      </c>
      <c r="G106" s="2">
        <v>47</v>
      </c>
      <c r="H106" s="2"/>
      <c r="I106" s="2">
        <v>55</v>
      </c>
      <c r="J106" s="2"/>
      <c r="K106" s="2">
        <v>32</v>
      </c>
      <c r="L106" s="2" t="s">
        <v>21</v>
      </c>
      <c r="M106" s="2">
        <v>1</v>
      </c>
      <c r="N106" s="2">
        <v>0</v>
      </c>
      <c r="O106" s="2">
        <v>2</v>
      </c>
      <c r="P106" s="2">
        <v>0</v>
      </c>
      <c r="Q106" s="2">
        <v>0</v>
      </c>
      <c r="R106" s="2">
        <v>4</v>
      </c>
      <c r="S106" s="2"/>
      <c r="T106" s="2"/>
      <c r="U106" s="2"/>
      <c r="V106" s="2"/>
      <c r="W106" s="2"/>
      <c r="X106" s="2"/>
      <c r="Y106">
        <f t="shared" si="2"/>
        <v>3</v>
      </c>
      <c r="Z106">
        <f t="shared" si="3"/>
        <v>1.3333333333333333</v>
      </c>
    </row>
    <row r="107" spans="1:26" x14ac:dyDescent="0.25">
      <c r="A107" s="2" t="s">
        <v>731</v>
      </c>
      <c r="B107" s="8">
        <v>6</v>
      </c>
      <c r="C107" s="2" t="s">
        <v>25</v>
      </c>
      <c r="D107" s="8" t="s">
        <v>20</v>
      </c>
      <c r="E107" s="2">
        <v>17</v>
      </c>
      <c r="F107" s="2">
        <v>20</v>
      </c>
      <c r="G107" s="2">
        <v>44</v>
      </c>
      <c r="H107" s="2">
        <v>123</v>
      </c>
      <c r="I107" s="2">
        <v>38</v>
      </c>
      <c r="J107" s="2">
        <v>52</v>
      </c>
      <c r="K107" s="2">
        <v>31</v>
      </c>
      <c r="L107" s="2">
        <v>9156</v>
      </c>
      <c r="M107" s="2">
        <v>0</v>
      </c>
      <c r="N107" s="2">
        <v>0</v>
      </c>
      <c r="O107" s="2">
        <v>1</v>
      </c>
      <c r="P107" s="2">
        <v>0</v>
      </c>
      <c r="Q107" s="2">
        <v>0</v>
      </c>
      <c r="R107" s="2">
        <v>2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  <c r="X107" s="2">
        <v>9</v>
      </c>
      <c r="Y107">
        <f t="shared" si="2"/>
        <v>2</v>
      </c>
      <c r="Z107">
        <f t="shared" si="3"/>
        <v>5.5</v>
      </c>
    </row>
    <row r="108" spans="1:26" x14ac:dyDescent="0.25">
      <c r="A108" s="2" t="s">
        <v>732</v>
      </c>
      <c r="B108" s="8">
        <v>7</v>
      </c>
      <c r="C108" s="2" t="s">
        <v>25</v>
      </c>
      <c r="D108" s="8" t="s">
        <v>20</v>
      </c>
      <c r="E108" s="2">
        <v>18</v>
      </c>
      <c r="F108" s="2">
        <v>40</v>
      </c>
      <c r="G108" s="2">
        <v>123</v>
      </c>
      <c r="H108" s="2"/>
      <c r="I108" s="2">
        <v>63</v>
      </c>
      <c r="J108" s="2"/>
      <c r="K108" s="2">
        <v>35</v>
      </c>
      <c r="L108" s="2" t="s">
        <v>21</v>
      </c>
      <c r="M108" s="2">
        <v>1</v>
      </c>
      <c r="N108" s="2">
        <v>1</v>
      </c>
      <c r="O108" s="2">
        <v>1</v>
      </c>
      <c r="P108" s="2">
        <v>0</v>
      </c>
      <c r="Q108" s="2">
        <v>0</v>
      </c>
      <c r="R108" s="2">
        <v>14</v>
      </c>
      <c r="S108" s="2"/>
      <c r="T108" s="2"/>
      <c r="U108" s="2"/>
      <c r="V108" s="2"/>
      <c r="W108" s="2"/>
      <c r="X108" s="2"/>
      <c r="Y108">
        <f t="shared" si="2"/>
        <v>3</v>
      </c>
      <c r="Z108">
        <f t="shared" si="3"/>
        <v>4.666666666666667</v>
      </c>
    </row>
    <row r="109" spans="1:26" x14ac:dyDescent="0.25">
      <c r="A109" s="2" t="s">
        <v>733</v>
      </c>
      <c r="B109" s="8">
        <v>8</v>
      </c>
      <c r="C109" s="2" t="s">
        <v>25</v>
      </c>
      <c r="D109" s="8" t="s">
        <v>20</v>
      </c>
      <c r="E109" s="2">
        <v>14</v>
      </c>
      <c r="F109" s="2">
        <v>25</v>
      </c>
      <c r="G109" s="2">
        <v>101</v>
      </c>
      <c r="H109" s="2"/>
      <c r="I109" s="2">
        <v>43</v>
      </c>
      <c r="J109" s="2"/>
      <c r="K109" s="2">
        <v>35</v>
      </c>
      <c r="L109" s="2">
        <v>8236</v>
      </c>
      <c r="M109" s="2">
        <v>0</v>
      </c>
      <c r="N109" s="2">
        <v>1</v>
      </c>
      <c r="O109" s="2">
        <v>1</v>
      </c>
      <c r="P109" s="2">
        <v>0</v>
      </c>
      <c r="Q109" s="2">
        <v>0</v>
      </c>
      <c r="R109" s="2">
        <v>5</v>
      </c>
      <c r="S109" s="2"/>
      <c r="T109" s="2"/>
      <c r="U109" s="2"/>
      <c r="V109" s="2"/>
      <c r="W109" s="2"/>
      <c r="X109" s="2"/>
      <c r="Y109">
        <f t="shared" si="2"/>
        <v>2</v>
      </c>
      <c r="Z109">
        <f t="shared" si="3"/>
        <v>2.5</v>
      </c>
    </row>
    <row r="110" spans="1:26" x14ac:dyDescent="0.25">
      <c r="A110" s="2" t="s">
        <v>734</v>
      </c>
      <c r="B110" s="8">
        <v>9</v>
      </c>
      <c r="C110" s="2" t="s">
        <v>25</v>
      </c>
      <c r="D110" s="8" t="s">
        <v>20</v>
      </c>
      <c r="E110" s="2">
        <v>17.5</v>
      </c>
      <c r="F110" s="2">
        <v>43</v>
      </c>
      <c r="G110" s="2">
        <v>29</v>
      </c>
      <c r="H110" s="2">
        <v>84</v>
      </c>
      <c r="I110" s="2">
        <v>65</v>
      </c>
      <c r="J110" s="2">
        <v>71</v>
      </c>
      <c r="K110" s="2">
        <v>36</v>
      </c>
      <c r="L110" s="2">
        <v>14632</v>
      </c>
      <c r="M110" s="2">
        <v>0</v>
      </c>
      <c r="N110" s="2">
        <v>1</v>
      </c>
      <c r="O110" s="2">
        <v>0</v>
      </c>
      <c r="P110" s="2">
        <v>0</v>
      </c>
      <c r="Q110" s="2">
        <v>0</v>
      </c>
      <c r="R110" s="2">
        <v>8</v>
      </c>
      <c r="S110" s="2">
        <v>0</v>
      </c>
      <c r="T110" s="2">
        <v>1</v>
      </c>
      <c r="U110" s="2">
        <v>1</v>
      </c>
      <c r="V110" s="2">
        <v>0</v>
      </c>
      <c r="W110" s="2">
        <v>0</v>
      </c>
      <c r="X110" s="2">
        <v>11</v>
      </c>
      <c r="Y110">
        <f t="shared" si="2"/>
        <v>3</v>
      </c>
      <c r="Z110">
        <f t="shared" si="3"/>
        <v>6.333333333333333</v>
      </c>
    </row>
    <row r="111" spans="1:26" ht="15.75" x14ac:dyDescent="0.25">
      <c r="A111" s="2" t="s">
        <v>735</v>
      </c>
      <c r="B111" s="14">
        <v>10</v>
      </c>
      <c r="C111" s="2" t="s">
        <v>25</v>
      </c>
      <c r="D111" s="8" t="s">
        <v>20</v>
      </c>
      <c r="E111" s="2">
        <v>16.5</v>
      </c>
      <c r="F111" s="2">
        <v>30</v>
      </c>
      <c r="G111" s="2"/>
      <c r="H111" s="2">
        <v>138</v>
      </c>
      <c r="I111" s="2"/>
      <c r="J111" s="2">
        <v>92</v>
      </c>
      <c r="K111" s="2">
        <v>31</v>
      </c>
      <c r="L111" s="2">
        <v>6770</v>
      </c>
      <c r="M111" s="2"/>
      <c r="N111" s="2"/>
      <c r="O111" s="2"/>
      <c r="P111" s="2"/>
      <c r="Q111" s="2"/>
      <c r="R111" s="2"/>
      <c r="S111" s="2">
        <v>0</v>
      </c>
      <c r="T111" s="2">
        <v>2</v>
      </c>
      <c r="U111" s="2">
        <v>0</v>
      </c>
      <c r="V111" s="2">
        <v>0</v>
      </c>
      <c r="W111" s="2">
        <v>0</v>
      </c>
      <c r="X111" s="2">
        <v>7</v>
      </c>
      <c r="Y111">
        <f t="shared" si="2"/>
        <v>2</v>
      </c>
      <c r="Z111">
        <f t="shared" si="3"/>
        <v>3.5</v>
      </c>
    </row>
    <row r="112" spans="1:26" x14ac:dyDescent="0.25">
      <c r="A112" s="2" t="s">
        <v>736</v>
      </c>
      <c r="B112" s="8">
        <v>11</v>
      </c>
      <c r="C112" s="2" t="s">
        <v>25</v>
      </c>
      <c r="D112" s="8" t="s">
        <v>20</v>
      </c>
      <c r="E112" s="2">
        <v>16</v>
      </c>
      <c r="F112" s="2">
        <v>38</v>
      </c>
      <c r="G112" s="2"/>
      <c r="H112" s="2">
        <v>119</v>
      </c>
      <c r="I112" s="2"/>
      <c r="J112" s="2">
        <v>70</v>
      </c>
      <c r="K112" s="2">
        <v>34</v>
      </c>
      <c r="L112" s="2">
        <v>12452</v>
      </c>
      <c r="M112" s="2"/>
      <c r="N112" s="2"/>
      <c r="O112" s="2"/>
      <c r="P112" s="2"/>
      <c r="Q112" s="2"/>
      <c r="R112" s="2"/>
      <c r="S112" s="2">
        <v>0</v>
      </c>
      <c r="T112" s="2">
        <v>2</v>
      </c>
      <c r="U112" s="2">
        <v>2</v>
      </c>
      <c r="V112" s="2">
        <v>0</v>
      </c>
      <c r="W112" s="2">
        <v>0</v>
      </c>
      <c r="X112" s="2">
        <v>25</v>
      </c>
      <c r="Y112">
        <f t="shared" si="2"/>
        <v>4</v>
      </c>
      <c r="Z112">
        <f t="shared" si="3"/>
        <v>6.25</v>
      </c>
    </row>
    <row r="113" spans="1:26" x14ac:dyDescent="0.25">
      <c r="A113" s="2" t="s">
        <v>737</v>
      </c>
      <c r="B113" s="8">
        <v>12</v>
      </c>
      <c r="C113" s="2" t="s">
        <v>25</v>
      </c>
      <c r="D113" s="8" t="s">
        <v>20</v>
      </c>
      <c r="E113" s="2">
        <v>15</v>
      </c>
      <c r="F113" s="2">
        <v>24</v>
      </c>
      <c r="G113" s="2">
        <v>28</v>
      </c>
      <c r="H113" s="2">
        <v>112</v>
      </c>
      <c r="I113" s="2">
        <v>51</v>
      </c>
      <c r="J113" s="2">
        <v>67</v>
      </c>
      <c r="K113" s="2">
        <v>32</v>
      </c>
      <c r="L113" s="2">
        <v>1930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4</v>
      </c>
      <c r="S113" s="2">
        <v>0</v>
      </c>
      <c r="T113" s="2">
        <v>0</v>
      </c>
      <c r="U113" s="2">
        <v>2</v>
      </c>
      <c r="V113" s="2">
        <v>1</v>
      </c>
      <c r="W113" s="2">
        <v>0</v>
      </c>
      <c r="X113" s="2">
        <v>33</v>
      </c>
      <c r="Y113">
        <f t="shared" si="2"/>
        <v>5</v>
      </c>
      <c r="Z113">
        <f t="shared" si="3"/>
        <v>7.4</v>
      </c>
    </row>
    <row r="114" spans="1:26" x14ac:dyDescent="0.25">
      <c r="A114" s="2" t="s">
        <v>738</v>
      </c>
      <c r="B114" s="8">
        <v>13</v>
      </c>
      <c r="C114" s="2" t="s">
        <v>25</v>
      </c>
      <c r="D114" s="8" t="s">
        <v>20</v>
      </c>
      <c r="E114" s="2">
        <v>17</v>
      </c>
      <c r="F114" s="2">
        <v>30.5</v>
      </c>
      <c r="G114" s="2">
        <v>30</v>
      </c>
      <c r="H114" s="2">
        <v>135</v>
      </c>
      <c r="I114" s="2">
        <v>53</v>
      </c>
      <c r="J114" s="2">
        <v>62</v>
      </c>
      <c r="K114" s="2">
        <v>31</v>
      </c>
      <c r="L114" s="2">
        <v>9683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1</v>
      </c>
      <c r="S114" s="2">
        <v>0</v>
      </c>
      <c r="T114" s="2">
        <v>2</v>
      </c>
      <c r="U114" s="2">
        <v>2</v>
      </c>
      <c r="V114" s="2">
        <v>0</v>
      </c>
      <c r="W114" s="2">
        <v>0</v>
      </c>
      <c r="X114" s="2">
        <v>10</v>
      </c>
      <c r="Y114">
        <f t="shared" si="2"/>
        <v>5</v>
      </c>
      <c r="Z114">
        <f t="shared" si="3"/>
        <v>2.2000000000000002</v>
      </c>
    </row>
    <row r="115" spans="1:26" x14ac:dyDescent="0.25">
      <c r="A115" s="2" t="s">
        <v>739</v>
      </c>
      <c r="B115" s="8">
        <v>14</v>
      </c>
      <c r="C115" s="2" t="s">
        <v>25</v>
      </c>
      <c r="D115" s="8" t="s">
        <v>20</v>
      </c>
      <c r="E115" s="2">
        <v>14</v>
      </c>
      <c r="F115" s="2">
        <v>32</v>
      </c>
      <c r="G115" s="2">
        <v>24</v>
      </c>
      <c r="H115" s="2">
        <v>107</v>
      </c>
      <c r="I115" s="2">
        <v>47</v>
      </c>
      <c r="J115" s="2">
        <v>66</v>
      </c>
      <c r="K115" s="2">
        <v>32</v>
      </c>
      <c r="L115" s="2">
        <v>2709</v>
      </c>
      <c r="M115" s="2">
        <v>2</v>
      </c>
      <c r="N115" s="2">
        <v>0</v>
      </c>
      <c r="O115" s="2">
        <v>1</v>
      </c>
      <c r="P115" s="2">
        <v>0</v>
      </c>
      <c r="Q115" s="2">
        <v>0</v>
      </c>
      <c r="R115" s="2">
        <v>7</v>
      </c>
      <c r="S115" s="2">
        <v>0</v>
      </c>
      <c r="T115" s="2">
        <v>1</v>
      </c>
      <c r="U115" s="2">
        <v>2</v>
      </c>
      <c r="V115" s="2">
        <v>0</v>
      </c>
      <c r="W115" s="2">
        <v>0</v>
      </c>
      <c r="X115" s="2">
        <v>19</v>
      </c>
      <c r="Y115">
        <f t="shared" si="2"/>
        <v>6</v>
      </c>
      <c r="Z115">
        <f t="shared" si="3"/>
        <v>4.333333333333333</v>
      </c>
    </row>
    <row r="116" spans="1:26" x14ac:dyDescent="0.25">
      <c r="A116" s="2" t="s">
        <v>740</v>
      </c>
      <c r="B116" s="8">
        <v>15</v>
      </c>
      <c r="C116" s="2" t="s">
        <v>25</v>
      </c>
      <c r="D116" s="8" t="s">
        <v>20</v>
      </c>
      <c r="E116" s="2">
        <v>13.5</v>
      </c>
      <c r="F116" s="2">
        <v>31</v>
      </c>
      <c r="G116" s="2"/>
      <c r="H116" s="2">
        <v>182</v>
      </c>
      <c r="I116" s="2"/>
      <c r="J116" s="2">
        <v>72</v>
      </c>
      <c r="K116" s="2">
        <v>34</v>
      </c>
      <c r="L116" s="2">
        <v>5564</v>
      </c>
      <c r="M116" s="2"/>
      <c r="N116" s="2"/>
      <c r="O116" s="2"/>
      <c r="P116" s="2"/>
      <c r="Q116" s="2"/>
      <c r="R116" s="2"/>
      <c r="S116" s="2">
        <v>0</v>
      </c>
      <c r="T116" s="2">
        <v>4</v>
      </c>
      <c r="U116" s="2">
        <v>1</v>
      </c>
      <c r="V116" s="2">
        <v>0</v>
      </c>
      <c r="W116" s="2">
        <v>0</v>
      </c>
      <c r="X116" s="2">
        <v>7</v>
      </c>
      <c r="Y116">
        <f t="shared" si="2"/>
        <v>5</v>
      </c>
      <c r="Z116">
        <f t="shared" si="3"/>
        <v>1.4</v>
      </c>
    </row>
    <row r="117" spans="1:26" x14ac:dyDescent="0.25">
      <c r="A117" s="2" t="s">
        <v>741</v>
      </c>
      <c r="B117" s="8">
        <v>16</v>
      </c>
      <c r="C117" s="2" t="s">
        <v>25</v>
      </c>
      <c r="D117" s="8" t="s">
        <v>20</v>
      </c>
      <c r="E117" s="2">
        <v>20</v>
      </c>
      <c r="F117" s="2">
        <v>39</v>
      </c>
      <c r="G117" s="2">
        <v>31</v>
      </c>
      <c r="H117" s="2">
        <v>95</v>
      </c>
      <c r="I117" s="2">
        <v>54</v>
      </c>
      <c r="J117" s="2">
        <v>60</v>
      </c>
      <c r="K117" s="2">
        <v>33</v>
      </c>
      <c r="L117" s="2">
        <v>17389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5</v>
      </c>
      <c r="S117" s="2">
        <v>0</v>
      </c>
      <c r="T117" s="2">
        <v>3</v>
      </c>
      <c r="U117" s="2">
        <v>0</v>
      </c>
      <c r="V117" s="2">
        <v>0</v>
      </c>
      <c r="W117" s="2">
        <v>0</v>
      </c>
      <c r="X117" s="2">
        <v>10</v>
      </c>
      <c r="Y117">
        <f t="shared" si="2"/>
        <v>4</v>
      </c>
      <c r="Z117">
        <f t="shared" si="3"/>
        <v>3.75</v>
      </c>
    </row>
    <row r="118" spans="1:26" x14ac:dyDescent="0.25">
      <c r="A118" s="2" t="s">
        <v>742</v>
      </c>
      <c r="B118" s="8">
        <v>17</v>
      </c>
      <c r="C118" s="2" t="s">
        <v>25</v>
      </c>
      <c r="D118" s="8" t="s">
        <v>20</v>
      </c>
      <c r="E118" s="2">
        <v>17</v>
      </c>
      <c r="F118" s="2">
        <v>44.5</v>
      </c>
      <c r="G118" s="2">
        <v>68</v>
      </c>
      <c r="H118" s="2">
        <v>134</v>
      </c>
      <c r="I118" s="2">
        <v>54</v>
      </c>
      <c r="J118" s="2">
        <v>69</v>
      </c>
      <c r="K118" s="2">
        <v>35</v>
      </c>
      <c r="L118" s="2">
        <v>15592</v>
      </c>
      <c r="M118" s="2">
        <v>1</v>
      </c>
      <c r="N118" s="2">
        <v>1</v>
      </c>
      <c r="O118" s="2">
        <v>1</v>
      </c>
      <c r="P118" s="2">
        <v>0</v>
      </c>
      <c r="Q118" s="2">
        <v>0</v>
      </c>
      <c r="R118" s="2">
        <v>19</v>
      </c>
      <c r="S118" s="2">
        <v>0</v>
      </c>
      <c r="T118" s="2">
        <v>0</v>
      </c>
      <c r="U118" s="2">
        <v>3</v>
      </c>
      <c r="V118" s="2">
        <v>0</v>
      </c>
      <c r="W118" s="2">
        <v>0</v>
      </c>
      <c r="X118" s="2">
        <v>31</v>
      </c>
      <c r="Y118">
        <f t="shared" si="2"/>
        <v>6</v>
      </c>
      <c r="Z118">
        <f t="shared" si="3"/>
        <v>8.3333333333333339</v>
      </c>
    </row>
    <row r="119" spans="1:26" x14ac:dyDescent="0.25">
      <c r="A119" s="2" t="s">
        <v>743</v>
      </c>
      <c r="B119" s="8">
        <v>18</v>
      </c>
      <c r="C119" s="2" t="s">
        <v>25</v>
      </c>
      <c r="D119" s="8" t="s">
        <v>20</v>
      </c>
      <c r="E119" s="2">
        <v>15</v>
      </c>
      <c r="F119" s="2">
        <v>38</v>
      </c>
      <c r="G119" s="2">
        <v>54</v>
      </c>
      <c r="H119" s="2"/>
      <c r="I119" s="2">
        <v>53</v>
      </c>
      <c r="J119" s="2"/>
      <c r="K119" s="2">
        <v>40</v>
      </c>
      <c r="L119" s="2">
        <v>6701</v>
      </c>
      <c r="M119" s="2">
        <v>3</v>
      </c>
      <c r="N119" s="2">
        <v>2</v>
      </c>
      <c r="O119" s="2">
        <v>1</v>
      </c>
      <c r="P119" s="2">
        <v>0</v>
      </c>
      <c r="Q119" s="2">
        <v>0</v>
      </c>
      <c r="R119" s="2">
        <v>27</v>
      </c>
      <c r="S119" s="2"/>
      <c r="T119" s="2"/>
      <c r="U119" s="2"/>
      <c r="V119" s="2"/>
      <c r="W119" s="2"/>
      <c r="X119" s="2"/>
      <c r="Y119">
        <f t="shared" si="2"/>
        <v>6</v>
      </c>
      <c r="Z119">
        <f t="shared" si="3"/>
        <v>4.5</v>
      </c>
    </row>
    <row r="120" spans="1:26" x14ac:dyDescent="0.25">
      <c r="A120" s="2" t="s">
        <v>744</v>
      </c>
      <c r="B120" s="8">
        <v>19</v>
      </c>
      <c r="C120" s="2" t="s">
        <v>25</v>
      </c>
      <c r="D120" s="8" t="s">
        <v>20</v>
      </c>
      <c r="E120" s="2">
        <v>15.5</v>
      </c>
      <c r="F120" s="2">
        <v>26.5</v>
      </c>
      <c r="G120" s="2">
        <v>31</v>
      </c>
      <c r="H120" s="2">
        <v>89</v>
      </c>
      <c r="I120" s="2">
        <v>55</v>
      </c>
      <c r="J120" s="2">
        <v>70</v>
      </c>
      <c r="K120" s="2">
        <v>33</v>
      </c>
      <c r="L120" s="2">
        <v>17431</v>
      </c>
      <c r="M120" s="2">
        <v>0</v>
      </c>
      <c r="N120" s="2">
        <v>1</v>
      </c>
      <c r="O120" s="2">
        <v>0</v>
      </c>
      <c r="P120" s="2">
        <v>0</v>
      </c>
      <c r="Q120" s="2">
        <v>0</v>
      </c>
      <c r="R120" s="2">
        <v>2</v>
      </c>
      <c r="S120" s="2">
        <v>1</v>
      </c>
      <c r="T120" s="2">
        <v>2</v>
      </c>
      <c r="U120" s="2">
        <v>0</v>
      </c>
      <c r="V120" s="2">
        <v>1</v>
      </c>
      <c r="W120" s="2">
        <v>0</v>
      </c>
      <c r="X120" s="2">
        <v>6</v>
      </c>
      <c r="Y120">
        <f t="shared" si="2"/>
        <v>5</v>
      </c>
      <c r="Z120">
        <f t="shared" si="3"/>
        <v>1.6</v>
      </c>
    </row>
    <row r="121" spans="1:26" x14ac:dyDescent="0.25">
      <c r="A121" s="2" t="s">
        <v>745</v>
      </c>
      <c r="B121" s="8">
        <v>20</v>
      </c>
      <c r="C121" s="2" t="s">
        <v>25</v>
      </c>
      <c r="D121" s="8" t="s">
        <v>20</v>
      </c>
      <c r="E121" s="2">
        <v>18</v>
      </c>
      <c r="F121" s="2">
        <v>27</v>
      </c>
      <c r="G121" s="2">
        <v>13</v>
      </c>
      <c r="H121" s="2">
        <v>68</v>
      </c>
      <c r="I121" s="2">
        <v>42</v>
      </c>
      <c r="J121" s="2">
        <v>56</v>
      </c>
      <c r="K121" s="2">
        <v>31</v>
      </c>
      <c r="L121" s="2">
        <v>8541</v>
      </c>
      <c r="M121" s="2">
        <v>0</v>
      </c>
      <c r="N121" s="2">
        <v>1</v>
      </c>
      <c r="O121" s="2">
        <v>1</v>
      </c>
      <c r="P121" s="2">
        <v>0</v>
      </c>
      <c r="Q121" s="2">
        <v>0</v>
      </c>
      <c r="R121" s="2">
        <v>8</v>
      </c>
      <c r="S121" s="2">
        <v>0</v>
      </c>
      <c r="T121" s="2">
        <v>1</v>
      </c>
      <c r="U121" s="2">
        <v>0</v>
      </c>
      <c r="V121" s="2">
        <v>1</v>
      </c>
      <c r="W121" s="2">
        <v>0</v>
      </c>
      <c r="X121" s="2">
        <v>3</v>
      </c>
      <c r="Y121">
        <f t="shared" si="2"/>
        <v>4</v>
      </c>
      <c r="Z121">
        <f t="shared" si="3"/>
        <v>2.75</v>
      </c>
    </row>
    <row r="122" spans="1:26" x14ac:dyDescent="0.25">
      <c r="A122" s="2" t="s">
        <v>416</v>
      </c>
      <c r="B122" s="8">
        <v>21</v>
      </c>
      <c r="C122" s="2" t="s">
        <v>22</v>
      </c>
      <c r="D122" s="8" t="s">
        <v>27</v>
      </c>
      <c r="E122" s="2">
        <v>16</v>
      </c>
      <c r="F122" s="2">
        <v>24</v>
      </c>
      <c r="G122" s="2">
        <v>31</v>
      </c>
      <c r="H122" s="2">
        <v>110</v>
      </c>
      <c r="I122" s="2">
        <v>61</v>
      </c>
      <c r="J122" s="2">
        <v>58</v>
      </c>
      <c r="K122" s="2">
        <v>33</v>
      </c>
      <c r="L122" s="2">
        <v>1554</v>
      </c>
      <c r="M122" s="2">
        <v>0</v>
      </c>
      <c r="N122" s="2">
        <v>0</v>
      </c>
      <c r="O122" s="2">
        <v>2</v>
      </c>
      <c r="P122" s="2">
        <v>0</v>
      </c>
      <c r="Q122" s="2">
        <v>0</v>
      </c>
      <c r="R122" s="2">
        <v>4</v>
      </c>
      <c r="S122" s="2">
        <v>0</v>
      </c>
      <c r="T122" s="2">
        <v>2</v>
      </c>
      <c r="U122" s="2">
        <v>1</v>
      </c>
      <c r="V122" s="2">
        <v>0</v>
      </c>
      <c r="W122" s="2">
        <v>0</v>
      </c>
      <c r="X122" s="2">
        <v>10</v>
      </c>
      <c r="Y122">
        <f t="shared" si="2"/>
        <v>5</v>
      </c>
      <c r="Z122">
        <f t="shared" si="3"/>
        <v>2.8</v>
      </c>
    </row>
    <row r="123" spans="1:26" x14ac:dyDescent="0.25">
      <c r="A123" s="2" t="s">
        <v>417</v>
      </c>
      <c r="B123" s="8">
        <v>22</v>
      </c>
      <c r="C123" s="2" t="s">
        <v>22</v>
      </c>
      <c r="D123" s="8" t="s">
        <v>27</v>
      </c>
      <c r="E123" s="2">
        <v>15</v>
      </c>
      <c r="F123" s="2">
        <v>33</v>
      </c>
      <c r="G123" s="2">
        <v>33</v>
      </c>
      <c r="H123" s="2">
        <v>71</v>
      </c>
      <c r="I123" s="2">
        <v>57</v>
      </c>
      <c r="J123" s="2">
        <v>54</v>
      </c>
      <c r="K123" s="2">
        <v>33</v>
      </c>
      <c r="L123" s="2">
        <v>3316</v>
      </c>
      <c r="M123" s="2">
        <v>0</v>
      </c>
      <c r="N123" s="2">
        <v>0</v>
      </c>
      <c r="O123" s="2">
        <v>0</v>
      </c>
      <c r="P123" s="2">
        <v>2</v>
      </c>
      <c r="Q123" s="2">
        <v>0</v>
      </c>
      <c r="R123" s="2">
        <v>2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4</v>
      </c>
      <c r="Y123">
        <f t="shared" si="2"/>
        <v>3</v>
      </c>
      <c r="Z123">
        <f t="shared" si="3"/>
        <v>2</v>
      </c>
    </row>
    <row r="124" spans="1:26" x14ac:dyDescent="0.25">
      <c r="A124" s="2" t="s">
        <v>418</v>
      </c>
      <c r="B124" s="8">
        <v>23</v>
      </c>
      <c r="C124" s="2" t="s">
        <v>22</v>
      </c>
      <c r="D124" s="8" t="s">
        <v>27</v>
      </c>
      <c r="E124" s="2">
        <v>16</v>
      </c>
      <c r="F124" s="2">
        <v>31</v>
      </c>
      <c r="G124" s="2">
        <v>15</v>
      </c>
      <c r="H124" s="2">
        <v>67</v>
      </c>
      <c r="I124" s="2">
        <v>63</v>
      </c>
      <c r="J124" s="2">
        <v>76</v>
      </c>
      <c r="K124" s="2">
        <v>36</v>
      </c>
      <c r="L124" s="2">
        <v>1452</v>
      </c>
      <c r="M124" s="2">
        <v>2</v>
      </c>
      <c r="N124" s="2">
        <v>0</v>
      </c>
      <c r="O124" s="2">
        <v>1</v>
      </c>
      <c r="P124" s="2">
        <v>0</v>
      </c>
      <c r="Q124" s="2">
        <v>0</v>
      </c>
      <c r="R124" s="2">
        <v>7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5</v>
      </c>
      <c r="Y124">
        <f t="shared" si="2"/>
        <v>4</v>
      </c>
      <c r="Z124">
        <f t="shared" si="3"/>
        <v>3</v>
      </c>
    </row>
    <row r="125" spans="1:26" x14ac:dyDescent="0.25">
      <c r="A125" s="2" t="s">
        <v>419</v>
      </c>
      <c r="B125" s="8">
        <v>24</v>
      </c>
      <c r="C125" s="2" t="s">
        <v>22</v>
      </c>
      <c r="D125" s="8" t="s">
        <v>27</v>
      </c>
      <c r="E125" s="2">
        <v>20</v>
      </c>
      <c r="F125" s="2">
        <v>40</v>
      </c>
      <c r="G125" s="2">
        <v>19</v>
      </c>
      <c r="H125" s="2">
        <v>83</v>
      </c>
      <c r="I125" s="2">
        <v>61</v>
      </c>
      <c r="J125" s="2">
        <v>70</v>
      </c>
      <c r="K125" s="2">
        <v>31</v>
      </c>
      <c r="L125" s="2" t="s">
        <v>21</v>
      </c>
      <c r="M125" s="2">
        <v>3</v>
      </c>
      <c r="N125" s="2">
        <v>0</v>
      </c>
      <c r="O125" s="2">
        <v>4</v>
      </c>
      <c r="P125" s="2">
        <v>0</v>
      </c>
      <c r="Q125" s="2">
        <v>0</v>
      </c>
      <c r="R125" s="2">
        <v>13</v>
      </c>
      <c r="S125" s="2">
        <v>0</v>
      </c>
      <c r="T125" s="2">
        <v>3</v>
      </c>
      <c r="U125" s="2">
        <v>2</v>
      </c>
      <c r="V125" s="2">
        <v>0</v>
      </c>
      <c r="W125" s="2">
        <v>0</v>
      </c>
      <c r="X125" s="2">
        <v>23</v>
      </c>
      <c r="Y125">
        <f t="shared" si="2"/>
        <v>12</v>
      </c>
      <c r="Z125">
        <f t="shared" si="3"/>
        <v>3</v>
      </c>
    </row>
    <row r="126" spans="1:26" x14ac:dyDescent="0.25">
      <c r="A126" s="2" t="s">
        <v>420</v>
      </c>
      <c r="B126" s="8">
        <v>25</v>
      </c>
      <c r="C126" s="2" t="s">
        <v>22</v>
      </c>
      <c r="D126" s="8" t="s">
        <v>27</v>
      </c>
      <c r="E126" s="2">
        <v>21</v>
      </c>
      <c r="F126" s="2">
        <v>30</v>
      </c>
      <c r="G126" s="2">
        <v>19</v>
      </c>
      <c r="H126" s="2">
        <v>53</v>
      </c>
      <c r="I126" s="2">
        <v>52</v>
      </c>
      <c r="J126" s="2">
        <v>63</v>
      </c>
      <c r="K126" s="2">
        <v>32</v>
      </c>
      <c r="L126" s="2">
        <v>7518</v>
      </c>
      <c r="M126" s="2">
        <v>0</v>
      </c>
      <c r="N126" s="2">
        <v>0</v>
      </c>
      <c r="O126" s="2">
        <v>1</v>
      </c>
      <c r="P126" s="2">
        <v>0</v>
      </c>
      <c r="Q126" s="2">
        <v>0</v>
      </c>
      <c r="R126" s="2">
        <v>2</v>
      </c>
      <c r="S126" s="2">
        <v>0</v>
      </c>
      <c r="T126" s="2">
        <v>2</v>
      </c>
      <c r="U126" s="2">
        <v>2</v>
      </c>
      <c r="V126" s="2">
        <v>0</v>
      </c>
      <c r="W126" s="2">
        <v>0</v>
      </c>
      <c r="X126" s="2">
        <v>24</v>
      </c>
      <c r="Y126">
        <f t="shared" si="2"/>
        <v>5</v>
      </c>
      <c r="Z126">
        <f t="shared" si="3"/>
        <v>5.2</v>
      </c>
    </row>
    <row r="127" spans="1:26" x14ac:dyDescent="0.25">
      <c r="A127" s="2" t="s">
        <v>421</v>
      </c>
      <c r="B127" s="8">
        <v>26</v>
      </c>
      <c r="C127" s="2" t="s">
        <v>22</v>
      </c>
      <c r="D127" s="8" t="s">
        <v>27</v>
      </c>
      <c r="E127" s="2">
        <v>19.5</v>
      </c>
      <c r="F127" s="2">
        <v>27</v>
      </c>
      <c r="G127" s="2">
        <v>31</v>
      </c>
      <c r="H127" s="2"/>
      <c r="I127" s="2">
        <v>61</v>
      </c>
      <c r="J127" s="2"/>
      <c r="K127" s="2">
        <v>31</v>
      </c>
      <c r="L127" s="2" t="s">
        <v>21</v>
      </c>
      <c r="M127" s="2">
        <v>0</v>
      </c>
      <c r="N127" s="2">
        <v>0</v>
      </c>
      <c r="O127" s="2">
        <v>1</v>
      </c>
      <c r="P127" s="2">
        <v>1</v>
      </c>
      <c r="Q127" s="2">
        <v>0</v>
      </c>
      <c r="R127" s="2">
        <v>3</v>
      </c>
      <c r="S127" s="2"/>
      <c r="T127" s="2"/>
      <c r="U127" s="2"/>
      <c r="V127" s="2"/>
      <c r="W127" s="2"/>
      <c r="X127" s="2"/>
      <c r="Y127">
        <f t="shared" si="2"/>
        <v>2</v>
      </c>
      <c r="Z127">
        <f t="shared" si="3"/>
        <v>1.5</v>
      </c>
    </row>
    <row r="128" spans="1:26" x14ac:dyDescent="0.25">
      <c r="A128" s="2" t="s">
        <v>422</v>
      </c>
      <c r="B128" s="8">
        <v>27</v>
      </c>
      <c r="C128" s="2" t="s">
        <v>22</v>
      </c>
      <c r="D128" s="8" t="s">
        <v>27</v>
      </c>
      <c r="E128" s="2">
        <v>16</v>
      </c>
      <c r="F128" s="2">
        <v>25</v>
      </c>
      <c r="G128" s="2">
        <v>46</v>
      </c>
      <c r="H128" s="2">
        <v>60</v>
      </c>
      <c r="I128" s="2">
        <v>51</v>
      </c>
      <c r="J128" s="2">
        <v>52</v>
      </c>
      <c r="K128" s="2">
        <v>36</v>
      </c>
      <c r="L128" s="2" t="s">
        <v>21</v>
      </c>
      <c r="M128" s="2">
        <v>2</v>
      </c>
      <c r="N128" s="2">
        <v>0</v>
      </c>
      <c r="O128" s="2">
        <v>0</v>
      </c>
      <c r="P128" s="2">
        <v>0</v>
      </c>
      <c r="Q128" s="2">
        <v>0</v>
      </c>
      <c r="R128" s="2">
        <v>2</v>
      </c>
      <c r="S128" s="2">
        <v>0</v>
      </c>
      <c r="T128" s="2">
        <v>0</v>
      </c>
      <c r="U128" s="2">
        <v>1</v>
      </c>
      <c r="V128" s="2">
        <v>0</v>
      </c>
      <c r="W128" s="2">
        <v>0</v>
      </c>
      <c r="X128" s="2">
        <v>2</v>
      </c>
      <c r="Y128">
        <f t="shared" si="2"/>
        <v>3</v>
      </c>
      <c r="Z128">
        <f t="shared" si="3"/>
        <v>1.3333333333333333</v>
      </c>
    </row>
    <row r="129" spans="1:26" x14ac:dyDescent="0.25">
      <c r="A129" s="2" t="s">
        <v>423</v>
      </c>
      <c r="B129" s="8">
        <v>28</v>
      </c>
      <c r="C129" s="2" t="s">
        <v>22</v>
      </c>
      <c r="D129" s="8" t="s">
        <v>27</v>
      </c>
      <c r="E129" s="2">
        <v>18</v>
      </c>
      <c r="F129" s="2">
        <v>28</v>
      </c>
      <c r="G129" s="2">
        <v>25</v>
      </c>
      <c r="H129" s="2"/>
      <c r="I129" s="2">
        <v>43</v>
      </c>
      <c r="J129" s="2"/>
      <c r="K129" s="2">
        <v>31</v>
      </c>
      <c r="L129" s="2">
        <v>3996</v>
      </c>
      <c r="M129" s="2">
        <v>0</v>
      </c>
      <c r="N129" s="2">
        <v>0</v>
      </c>
      <c r="O129" s="2">
        <v>1</v>
      </c>
      <c r="P129" s="2">
        <v>0</v>
      </c>
      <c r="Q129" s="2">
        <v>0</v>
      </c>
      <c r="R129" s="2">
        <v>4</v>
      </c>
      <c r="S129" s="2"/>
      <c r="T129" s="2"/>
      <c r="U129" s="2"/>
      <c r="V129" s="2"/>
      <c r="W129" s="2"/>
      <c r="X129" s="2"/>
      <c r="Y129">
        <f t="shared" si="2"/>
        <v>1</v>
      </c>
      <c r="Z129">
        <f t="shared" si="3"/>
        <v>4</v>
      </c>
    </row>
    <row r="130" spans="1:26" x14ac:dyDescent="0.25">
      <c r="A130" s="2" t="s">
        <v>424</v>
      </c>
      <c r="B130" s="8">
        <v>29</v>
      </c>
      <c r="C130" s="2" t="s">
        <v>22</v>
      </c>
      <c r="D130" s="8" t="s">
        <v>27</v>
      </c>
      <c r="E130" s="2">
        <v>16</v>
      </c>
      <c r="F130" s="2">
        <v>29</v>
      </c>
      <c r="G130" s="2">
        <v>18</v>
      </c>
      <c r="H130" s="2">
        <v>55</v>
      </c>
      <c r="I130" s="2">
        <v>62</v>
      </c>
      <c r="J130" s="2">
        <v>71</v>
      </c>
      <c r="K130" s="2">
        <v>30</v>
      </c>
      <c r="L130" s="2">
        <v>5574</v>
      </c>
      <c r="M130" s="2">
        <v>0</v>
      </c>
      <c r="N130" s="2">
        <v>6</v>
      </c>
      <c r="O130" s="2">
        <v>0</v>
      </c>
      <c r="P130" s="2">
        <v>0</v>
      </c>
      <c r="Q130" s="2">
        <v>0</v>
      </c>
      <c r="R130" s="2">
        <v>25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17</v>
      </c>
      <c r="Y130">
        <f t="shared" si="2"/>
        <v>7</v>
      </c>
      <c r="Z130">
        <f t="shared" si="3"/>
        <v>6</v>
      </c>
    </row>
    <row r="131" spans="1:26" x14ac:dyDescent="0.25">
      <c r="A131" s="2" t="s">
        <v>425</v>
      </c>
      <c r="B131" s="8">
        <v>30</v>
      </c>
      <c r="C131" s="2" t="s">
        <v>22</v>
      </c>
      <c r="D131" s="8" t="s">
        <v>27</v>
      </c>
      <c r="E131" s="2">
        <v>17</v>
      </c>
      <c r="F131" s="2">
        <v>26</v>
      </c>
      <c r="G131" s="2">
        <v>30</v>
      </c>
      <c r="H131" s="2"/>
      <c r="I131" s="2">
        <v>79</v>
      </c>
      <c r="J131" s="2"/>
      <c r="K131" s="2">
        <v>36</v>
      </c>
      <c r="L131" s="2" t="s">
        <v>21</v>
      </c>
      <c r="M131" s="2">
        <v>2</v>
      </c>
      <c r="N131" s="2">
        <v>0</v>
      </c>
      <c r="O131" s="2">
        <v>1</v>
      </c>
      <c r="P131" s="2">
        <v>0</v>
      </c>
      <c r="Q131" s="2">
        <v>0</v>
      </c>
      <c r="R131" s="2">
        <v>9</v>
      </c>
      <c r="S131" s="2"/>
      <c r="T131" s="2"/>
      <c r="U131" s="2"/>
      <c r="V131" s="2"/>
      <c r="W131" s="2"/>
      <c r="X131" s="2"/>
      <c r="Y131">
        <f t="shared" ref="Y131:Y194" si="4">SUM(M131:Q131,S131:W131)</f>
        <v>3</v>
      </c>
      <c r="Z131">
        <f t="shared" ref="Z131:Z194" si="5">(R131+X131) / (SUM(M131:Q131) + (SUM(S131:W131)))</f>
        <v>3</v>
      </c>
    </row>
    <row r="132" spans="1:26" x14ac:dyDescent="0.25">
      <c r="A132" s="2" t="s">
        <v>426</v>
      </c>
      <c r="B132" s="8">
        <v>31</v>
      </c>
      <c r="C132" s="2" t="s">
        <v>22</v>
      </c>
      <c r="D132" s="8" t="s">
        <v>27</v>
      </c>
      <c r="E132" s="2">
        <v>19</v>
      </c>
      <c r="F132" s="2">
        <v>37</v>
      </c>
      <c r="G132" s="2">
        <v>18</v>
      </c>
      <c r="H132" s="2">
        <v>53</v>
      </c>
      <c r="I132" s="2">
        <v>60</v>
      </c>
      <c r="J132" s="2">
        <v>60</v>
      </c>
      <c r="K132" s="2">
        <v>34</v>
      </c>
      <c r="L132" s="2" t="s">
        <v>21</v>
      </c>
      <c r="M132" s="2">
        <v>1</v>
      </c>
      <c r="N132" s="2">
        <v>1</v>
      </c>
      <c r="O132" s="2">
        <v>1</v>
      </c>
      <c r="P132" s="2">
        <v>0</v>
      </c>
      <c r="Q132" s="2">
        <v>0</v>
      </c>
      <c r="R132" s="2">
        <v>6</v>
      </c>
      <c r="S132" s="2">
        <v>1</v>
      </c>
      <c r="T132" s="2">
        <v>2</v>
      </c>
      <c r="U132" s="2">
        <v>0</v>
      </c>
      <c r="V132" s="2">
        <v>0</v>
      </c>
      <c r="W132" s="2">
        <v>0</v>
      </c>
      <c r="X132" s="2">
        <v>15</v>
      </c>
      <c r="Y132">
        <f t="shared" si="4"/>
        <v>6</v>
      </c>
      <c r="Z132">
        <f t="shared" si="5"/>
        <v>3.5</v>
      </c>
    </row>
    <row r="133" spans="1:26" x14ac:dyDescent="0.25">
      <c r="A133" s="2" t="s">
        <v>427</v>
      </c>
      <c r="B133" s="8">
        <v>32</v>
      </c>
      <c r="C133" s="2" t="s">
        <v>22</v>
      </c>
      <c r="D133" s="8" t="s">
        <v>27</v>
      </c>
      <c r="E133" s="2">
        <v>16</v>
      </c>
      <c r="F133" s="2">
        <v>24</v>
      </c>
      <c r="G133" s="2">
        <v>17</v>
      </c>
      <c r="H133" s="2">
        <v>35</v>
      </c>
      <c r="I133" s="2">
        <v>43</v>
      </c>
      <c r="J133" s="2">
        <v>57</v>
      </c>
      <c r="K133" s="2">
        <v>28</v>
      </c>
      <c r="L133" s="2">
        <v>4041</v>
      </c>
      <c r="M133" s="2">
        <v>0</v>
      </c>
      <c r="N133" s="2">
        <v>0</v>
      </c>
      <c r="O133" s="2">
        <v>1</v>
      </c>
      <c r="P133" s="2">
        <v>0</v>
      </c>
      <c r="Q133" s="2">
        <v>1</v>
      </c>
      <c r="R133" s="2">
        <v>2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5</v>
      </c>
      <c r="Y133">
        <f t="shared" si="4"/>
        <v>3</v>
      </c>
      <c r="Z133">
        <f t="shared" si="5"/>
        <v>2.3333333333333335</v>
      </c>
    </row>
    <row r="134" spans="1:26" x14ac:dyDescent="0.25">
      <c r="A134" s="2" t="s">
        <v>428</v>
      </c>
      <c r="B134" s="8">
        <v>33</v>
      </c>
      <c r="C134" s="2" t="s">
        <v>22</v>
      </c>
      <c r="D134" s="8" t="s">
        <v>27</v>
      </c>
      <c r="E134" s="2">
        <v>20.5</v>
      </c>
      <c r="F134" s="2">
        <v>30</v>
      </c>
      <c r="G134" s="2">
        <v>40</v>
      </c>
      <c r="H134" s="2">
        <v>115</v>
      </c>
      <c r="I134" s="2">
        <v>46</v>
      </c>
      <c r="J134" s="2">
        <v>41</v>
      </c>
      <c r="K134" s="2">
        <v>35</v>
      </c>
      <c r="L134" s="2">
        <v>3057</v>
      </c>
      <c r="M134" s="2">
        <v>1</v>
      </c>
      <c r="N134" s="2">
        <v>0</v>
      </c>
      <c r="O134" s="2">
        <v>1</v>
      </c>
      <c r="P134" s="2">
        <v>0</v>
      </c>
      <c r="Q134" s="2">
        <v>0</v>
      </c>
      <c r="R134" s="2">
        <v>8</v>
      </c>
      <c r="S134" s="2">
        <v>0</v>
      </c>
      <c r="T134" s="2">
        <v>1</v>
      </c>
      <c r="U134" s="2">
        <v>1</v>
      </c>
      <c r="V134" s="2">
        <v>0</v>
      </c>
      <c r="W134" s="2">
        <v>0</v>
      </c>
      <c r="X134" s="2">
        <v>53</v>
      </c>
      <c r="Y134">
        <f t="shared" si="4"/>
        <v>4</v>
      </c>
      <c r="Z134">
        <f t="shared" si="5"/>
        <v>15.25</v>
      </c>
    </row>
    <row r="135" spans="1:26" x14ac:dyDescent="0.25">
      <c r="A135" s="2" t="s">
        <v>429</v>
      </c>
      <c r="B135" s="8">
        <v>34</v>
      </c>
      <c r="C135" s="2" t="s">
        <v>22</v>
      </c>
      <c r="D135" s="8" t="s">
        <v>27</v>
      </c>
      <c r="E135" s="2">
        <v>16</v>
      </c>
      <c r="F135" s="2">
        <v>35</v>
      </c>
      <c r="G135" s="2">
        <v>11</v>
      </c>
      <c r="H135" s="2">
        <v>38</v>
      </c>
      <c r="I135" s="2">
        <v>52</v>
      </c>
      <c r="J135" s="2">
        <v>57</v>
      </c>
      <c r="K135" s="2">
        <v>36</v>
      </c>
      <c r="L135" s="2">
        <v>6086</v>
      </c>
      <c r="M135" s="2">
        <v>0</v>
      </c>
      <c r="N135" s="2">
        <v>1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13</v>
      </c>
      <c r="Y135">
        <f t="shared" si="4"/>
        <v>2</v>
      </c>
      <c r="Z135">
        <f t="shared" si="5"/>
        <v>7</v>
      </c>
    </row>
    <row r="136" spans="1:26" x14ac:dyDescent="0.25">
      <c r="A136" s="2" t="s">
        <v>430</v>
      </c>
      <c r="B136" s="8">
        <v>35</v>
      </c>
      <c r="C136" s="2" t="s">
        <v>22</v>
      </c>
      <c r="D136" s="8" t="s">
        <v>27</v>
      </c>
      <c r="E136" s="2">
        <v>17</v>
      </c>
      <c r="F136" s="2">
        <v>25.5</v>
      </c>
      <c r="G136" s="2">
        <v>32</v>
      </c>
      <c r="H136" s="2"/>
      <c r="I136" s="2">
        <v>52</v>
      </c>
      <c r="J136" s="2"/>
      <c r="K136" s="2">
        <v>30</v>
      </c>
      <c r="L136" s="2">
        <v>2217</v>
      </c>
      <c r="M136" s="2">
        <v>0</v>
      </c>
      <c r="N136" s="2">
        <v>4</v>
      </c>
      <c r="O136" s="2">
        <v>0</v>
      </c>
      <c r="P136" s="2">
        <v>0</v>
      </c>
      <c r="Q136" s="2">
        <v>0</v>
      </c>
      <c r="R136" s="2">
        <v>8</v>
      </c>
      <c r="S136" s="2"/>
      <c r="T136" s="2"/>
      <c r="U136" s="2"/>
      <c r="V136" s="2"/>
      <c r="W136" s="2"/>
      <c r="X136" s="2"/>
      <c r="Y136">
        <f t="shared" si="4"/>
        <v>4</v>
      </c>
      <c r="Z136">
        <f t="shared" si="5"/>
        <v>2</v>
      </c>
    </row>
    <row r="137" spans="1:26" x14ac:dyDescent="0.25">
      <c r="A137" s="2" t="s">
        <v>431</v>
      </c>
      <c r="B137" s="8">
        <v>36</v>
      </c>
      <c r="C137" s="2" t="s">
        <v>22</v>
      </c>
      <c r="D137" s="8" t="s">
        <v>27</v>
      </c>
      <c r="E137" s="2">
        <v>19</v>
      </c>
      <c r="F137" s="2">
        <v>15</v>
      </c>
      <c r="G137" s="2">
        <v>23</v>
      </c>
      <c r="H137" s="2"/>
      <c r="I137" s="2">
        <v>49</v>
      </c>
      <c r="J137" s="2"/>
      <c r="K137" s="2">
        <v>35</v>
      </c>
      <c r="L137" s="2" t="s">
        <v>21</v>
      </c>
      <c r="M137" s="2">
        <v>1</v>
      </c>
      <c r="N137" s="2">
        <v>0</v>
      </c>
      <c r="O137" s="2">
        <v>1</v>
      </c>
      <c r="P137" s="2">
        <v>0</v>
      </c>
      <c r="Q137" s="2">
        <v>0</v>
      </c>
      <c r="R137" s="2">
        <v>13</v>
      </c>
      <c r="S137" s="2"/>
      <c r="T137" s="2"/>
      <c r="U137" s="2"/>
      <c r="V137" s="2"/>
      <c r="W137" s="2"/>
      <c r="X137" s="2"/>
      <c r="Y137">
        <f t="shared" si="4"/>
        <v>2</v>
      </c>
      <c r="Z137">
        <f t="shared" si="5"/>
        <v>6.5</v>
      </c>
    </row>
    <row r="138" spans="1:26" x14ac:dyDescent="0.25">
      <c r="A138" s="2" t="s">
        <v>432</v>
      </c>
      <c r="B138" s="8">
        <v>37</v>
      </c>
      <c r="C138" s="2" t="s">
        <v>22</v>
      </c>
      <c r="D138" s="8" t="s">
        <v>27</v>
      </c>
      <c r="E138" s="2">
        <v>20</v>
      </c>
      <c r="F138" s="2">
        <v>25.5</v>
      </c>
      <c r="G138" s="2"/>
      <c r="H138" s="2">
        <v>95</v>
      </c>
      <c r="I138" s="2"/>
      <c r="J138" s="2">
        <v>64</v>
      </c>
      <c r="K138" s="2">
        <v>28</v>
      </c>
      <c r="L138" s="2" t="s">
        <v>21</v>
      </c>
      <c r="M138" s="2"/>
      <c r="N138" s="2"/>
      <c r="O138" s="2"/>
      <c r="P138" s="2"/>
      <c r="Q138" s="2"/>
      <c r="R138" s="2"/>
      <c r="S138" s="2">
        <v>2</v>
      </c>
      <c r="T138" s="2">
        <v>0</v>
      </c>
      <c r="U138" s="2">
        <v>0</v>
      </c>
      <c r="V138" s="2">
        <v>0</v>
      </c>
      <c r="W138" s="2">
        <v>0</v>
      </c>
      <c r="X138" s="2">
        <v>17</v>
      </c>
      <c r="Y138">
        <f t="shared" si="4"/>
        <v>2</v>
      </c>
      <c r="Z138">
        <f t="shared" si="5"/>
        <v>8.5</v>
      </c>
    </row>
    <row r="139" spans="1:26" x14ac:dyDescent="0.25">
      <c r="A139" s="2" t="s">
        <v>433</v>
      </c>
      <c r="B139" s="8">
        <v>38</v>
      </c>
      <c r="C139" s="2" t="s">
        <v>22</v>
      </c>
      <c r="D139" s="8" t="s">
        <v>27</v>
      </c>
      <c r="E139" s="2">
        <v>19.5</v>
      </c>
      <c r="F139" s="2" t="s">
        <v>21</v>
      </c>
      <c r="G139" s="2">
        <v>31</v>
      </c>
      <c r="H139" s="2">
        <v>34</v>
      </c>
      <c r="I139" s="2">
        <v>52</v>
      </c>
      <c r="J139" s="2">
        <v>57</v>
      </c>
      <c r="K139" s="2">
        <v>30</v>
      </c>
      <c r="L139" s="2" t="s">
        <v>21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  <c r="T139" s="2">
        <v>0</v>
      </c>
      <c r="U139" s="2">
        <v>0</v>
      </c>
      <c r="V139" s="2">
        <v>0</v>
      </c>
      <c r="W139" s="2">
        <v>0</v>
      </c>
      <c r="X139" s="2">
        <v>19</v>
      </c>
      <c r="Y139">
        <f t="shared" si="4"/>
        <v>2</v>
      </c>
      <c r="Z139">
        <f t="shared" si="5"/>
        <v>10</v>
      </c>
    </row>
    <row r="140" spans="1:26" x14ac:dyDescent="0.25">
      <c r="A140" s="2" t="s">
        <v>436</v>
      </c>
      <c r="B140" s="8">
        <v>39</v>
      </c>
      <c r="C140" s="2" t="s">
        <v>22</v>
      </c>
      <c r="D140" s="8" t="s">
        <v>27</v>
      </c>
      <c r="E140" s="2">
        <v>17</v>
      </c>
      <c r="F140" s="2">
        <v>32.5</v>
      </c>
      <c r="G140" s="2">
        <v>41</v>
      </c>
      <c r="H140" s="2">
        <v>45</v>
      </c>
      <c r="I140" s="2">
        <v>51</v>
      </c>
      <c r="J140" s="2">
        <v>57</v>
      </c>
      <c r="K140" s="2">
        <v>36</v>
      </c>
      <c r="L140" s="2">
        <v>3284</v>
      </c>
      <c r="M140" s="2">
        <v>0</v>
      </c>
      <c r="N140" s="2">
        <v>0</v>
      </c>
      <c r="O140" s="2">
        <v>1</v>
      </c>
      <c r="P140" s="2">
        <v>0</v>
      </c>
      <c r="Q140" s="2">
        <v>0</v>
      </c>
      <c r="R140" s="2">
        <v>5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6</v>
      </c>
      <c r="Y140">
        <f t="shared" si="4"/>
        <v>2</v>
      </c>
      <c r="Z140">
        <f t="shared" si="5"/>
        <v>5.5</v>
      </c>
    </row>
    <row r="141" spans="1:26" x14ac:dyDescent="0.25">
      <c r="A141" s="2" t="s">
        <v>437</v>
      </c>
      <c r="B141" s="8">
        <v>40</v>
      </c>
      <c r="C141" s="2" t="s">
        <v>22</v>
      </c>
      <c r="D141" s="8" t="s">
        <v>27</v>
      </c>
      <c r="E141" s="2">
        <v>17</v>
      </c>
      <c r="F141" s="2">
        <v>19</v>
      </c>
      <c r="G141" s="2">
        <v>16</v>
      </c>
      <c r="H141" s="2">
        <v>39</v>
      </c>
      <c r="I141" s="2">
        <v>46</v>
      </c>
      <c r="J141" s="2">
        <v>61</v>
      </c>
      <c r="K141" s="2">
        <v>28</v>
      </c>
      <c r="L141" s="2">
        <v>5055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1</v>
      </c>
      <c r="S141" s="2">
        <v>0</v>
      </c>
      <c r="T141" s="2">
        <v>0</v>
      </c>
      <c r="U141" s="2">
        <v>2</v>
      </c>
      <c r="V141" s="2">
        <v>0</v>
      </c>
      <c r="W141" s="2">
        <v>0</v>
      </c>
      <c r="X141" s="2">
        <v>2</v>
      </c>
      <c r="Y141">
        <f t="shared" si="4"/>
        <v>3</v>
      </c>
      <c r="Z141">
        <f t="shared" si="5"/>
        <v>1</v>
      </c>
    </row>
    <row r="142" spans="1:26" x14ac:dyDescent="0.25">
      <c r="A142" s="2" t="s">
        <v>481</v>
      </c>
      <c r="B142" s="8">
        <v>21</v>
      </c>
      <c r="C142" s="2" t="s">
        <v>19</v>
      </c>
      <c r="D142" s="8" t="s">
        <v>27</v>
      </c>
      <c r="E142" s="2">
        <v>18</v>
      </c>
      <c r="F142" s="2">
        <v>34</v>
      </c>
      <c r="G142" s="2"/>
      <c r="H142" s="2"/>
      <c r="I142" s="2"/>
      <c r="J142" s="2"/>
      <c r="K142" s="2"/>
      <c r="L142" s="2" t="s">
        <v>21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>
        <f t="shared" si="4"/>
        <v>0</v>
      </c>
      <c r="Z142" t="e">
        <f t="shared" si="5"/>
        <v>#DIV/0!</v>
      </c>
    </row>
    <row r="143" spans="1:26" x14ac:dyDescent="0.25">
      <c r="A143" s="2" t="s">
        <v>482</v>
      </c>
      <c r="B143" s="8">
        <v>22</v>
      </c>
      <c r="C143" s="2" t="s">
        <v>19</v>
      </c>
      <c r="D143" s="8" t="s">
        <v>27</v>
      </c>
      <c r="E143" s="2">
        <v>13</v>
      </c>
      <c r="F143" s="2">
        <v>22</v>
      </c>
      <c r="G143" s="2">
        <v>15</v>
      </c>
      <c r="H143" s="2"/>
      <c r="I143" s="2">
        <v>52</v>
      </c>
      <c r="J143" s="2"/>
      <c r="K143" s="2">
        <v>33</v>
      </c>
      <c r="L143" s="2" t="s">
        <v>21</v>
      </c>
      <c r="M143" s="2">
        <v>1</v>
      </c>
      <c r="N143" s="2">
        <v>0</v>
      </c>
      <c r="O143" s="2">
        <v>2</v>
      </c>
      <c r="P143" s="2">
        <v>0</v>
      </c>
      <c r="Q143" s="2">
        <v>0</v>
      </c>
      <c r="R143" s="2">
        <v>7</v>
      </c>
      <c r="S143" s="2"/>
      <c r="T143" s="2"/>
      <c r="U143" s="2"/>
      <c r="V143" s="2"/>
      <c r="W143" s="2"/>
      <c r="X143" s="2"/>
      <c r="Y143">
        <f t="shared" si="4"/>
        <v>3</v>
      </c>
      <c r="Z143">
        <f t="shared" si="5"/>
        <v>2.3333333333333335</v>
      </c>
    </row>
    <row r="144" spans="1:26" x14ac:dyDescent="0.25">
      <c r="A144" s="2" t="s">
        <v>483</v>
      </c>
      <c r="B144" s="8">
        <v>23</v>
      </c>
      <c r="C144" s="2" t="s">
        <v>19</v>
      </c>
      <c r="D144" s="8" t="s">
        <v>27</v>
      </c>
      <c r="E144" s="2">
        <v>17</v>
      </c>
      <c r="F144" s="2">
        <v>36</v>
      </c>
      <c r="G144" s="2"/>
      <c r="H144" s="2">
        <v>27</v>
      </c>
      <c r="I144" s="2"/>
      <c r="J144" s="2">
        <v>53</v>
      </c>
      <c r="K144" s="2">
        <v>38</v>
      </c>
      <c r="L144" s="2">
        <v>749</v>
      </c>
      <c r="M144" s="2"/>
      <c r="N144" s="2"/>
      <c r="O144" s="2"/>
      <c r="P144" s="2"/>
      <c r="Q144" s="2"/>
      <c r="R144" s="2"/>
      <c r="S144" s="2">
        <v>3</v>
      </c>
      <c r="T144" s="2">
        <v>0</v>
      </c>
      <c r="U144" s="2">
        <v>0</v>
      </c>
      <c r="V144" s="2">
        <v>0</v>
      </c>
      <c r="W144" s="2">
        <v>0</v>
      </c>
      <c r="X144" s="2">
        <v>7</v>
      </c>
      <c r="Y144">
        <f t="shared" si="4"/>
        <v>3</v>
      </c>
      <c r="Z144">
        <f t="shared" si="5"/>
        <v>2.3333333333333335</v>
      </c>
    </row>
    <row r="145" spans="1:26" x14ac:dyDescent="0.25">
      <c r="A145" s="2" t="s">
        <v>484</v>
      </c>
      <c r="B145" s="8">
        <v>24</v>
      </c>
      <c r="C145" s="2" t="s">
        <v>19</v>
      </c>
      <c r="D145" s="8" t="s">
        <v>27</v>
      </c>
      <c r="E145" s="2">
        <v>17</v>
      </c>
      <c r="F145" s="2">
        <v>29</v>
      </c>
      <c r="G145" s="2">
        <v>27</v>
      </c>
      <c r="H145" s="2"/>
      <c r="I145" s="2">
        <v>52</v>
      </c>
      <c r="J145" s="2"/>
      <c r="K145" s="2">
        <v>31</v>
      </c>
      <c r="L145" s="2" t="s">
        <v>21</v>
      </c>
      <c r="M145" s="2">
        <v>0</v>
      </c>
      <c r="N145" s="2">
        <v>1</v>
      </c>
      <c r="O145" s="2">
        <v>0</v>
      </c>
      <c r="P145" s="2">
        <v>0</v>
      </c>
      <c r="Q145" s="2">
        <v>0</v>
      </c>
      <c r="R145" s="2">
        <v>1</v>
      </c>
      <c r="S145" s="2"/>
      <c r="T145" s="2"/>
      <c r="U145" s="2"/>
      <c r="V145" s="2"/>
      <c r="W145" s="2"/>
      <c r="X145" s="2"/>
      <c r="Y145">
        <f t="shared" si="4"/>
        <v>1</v>
      </c>
      <c r="Z145">
        <f t="shared" si="5"/>
        <v>1</v>
      </c>
    </row>
    <row r="146" spans="1:26" x14ac:dyDescent="0.25">
      <c r="A146" s="2" t="s">
        <v>485</v>
      </c>
      <c r="B146" s="8">
        <v>25</v>
      </c>
      <c r="C146" s="2" t="s">
        <v>19</v>
      </c>
      <c r="D146" s="8" t="s">
        <v>27</v>
      </c>
      <c r="E146" s="2">
        <v>11</v>
      </c>
      <c r="F146" s="2">
        <v>18</v>
      </c>
      <c r="G146" s="2"/>
      <c r="H146" s="2">
        <v>56</v>
      </c>
      <c r="I146" s="2"/>
      <c r="J146" s="2">
        <v>56</v>
      </c>
      <c r="K146" s="2">
        <v>29</v>
      </c>
      <c r="L146" s="2" t="s">
        <v>21</v>
      </c>
      <c r="M146" s="2"/>
      <c r="N146" s="2"/>
      <c r="O146" s="2"/>
      <c r="P146" s="2"/>
      <c r="Q146" s="2"/>
      <c r="R146" s="2"/>
      <c r="S146" s="2">
        <v>0</v>
      </c>
      <c r="T146" s="2">
        <v>0</v>
      </c>
      <c r="U146" s="2">
        <v>1</v>
      </c>
      <c r="V146" s="2">
        <v>0</v>
      </c>
      <c r="W146" s="2">
        <v>0</v>
      </c>
      <c r="X146" s="2">
        <v>3</v>
      </c>
      <c r="Y146">
        <f t="shared" si="4"/>
        <v>1</v>
      </c>
      <c r="Z146">
        <f t="shared" si="5"/>
        <v>3</v>
      </c>
    </row>
    <row r="147" spans="1:26" x14ac:dyDescent="0.25">
      <c r="A147" s="2" t="s">
        <v>486</v>
      </c>
      <c r="B147" s="8">
        <v>26</v>
      </c>
      <c r="C147" s="2" t="s">
        <v>19</v>
      </c>
      <c r="D147" s="8" t="s">
        <v>27</v>
      </c>
      <c r="E147" s="2">
        <v>17.5</v>
      </c>
      <c r="F147" s="2">
        <v>1</v>
      </c>
      <c r="G147" s="2">
        <v>17</v>
      </c>
      <c r="H147" s="2"/>
      <c r="I147" s="2">
        <v>52</v>
      </c>
      <c r="J147" s="2"/>
      <c r="K147" s="2">
        <v>31</v>
      </c>
      <c r="L147" s="2">
        <v>1105</v>
      </c>
      <c r="M147" s="2">
        <v>0</v>
      </c>
      <c r="N147" s="2">
        <v>0</v>
      </c>
      <c r="O147" s="2">
        <v>2</v>
      </c>
      <c r="P147" s="2">
        <v>0</v>
      </c>
      <c r="Q147" s="2">
        <v>0</v>
      </c>
      <c r="R147" s="2">
        <v>6</v>
      </c>
      <c r="S147" s="2"/>
      <c r="T147" s="2"/>
      <c r="U147" s="2"/>
      <c r="V147" s="2"/>
      <c r="W147" s="2"/>
      <c r="X147" s="2"/>
      <c r="Y147">
        <f t="shared" si="4"/>
        <v>2</v>
      </c>
      <c r="Z147">
        <f t="shared" si="5"/>
        <v>3</v>
      </c>
    </row>
    <row r="148" spans="1:26" x14ac:dyDescent="0.25">
      <c r="A148" s="2" t="s">
        <v>489</v>
      </c>
      <c r="B148" s="8">
        <v>27</v>
      </c>
      <c r="C148" s="2" t="s">
        <v>19</v>
      </c>
      <c r="D148" s="8" t="s">
        <v>27</v>
      </c>
      <c r="E148" s="2">
        <v>17</v>
      </c>
      <c r="F148" s="2" t="s">
        <v>21</v>
      </c>
      <c r="G148" s="2">
        <v>64</v>
      </c>
      <c r="H148" s="2"/>
      <c r="I148" s="2">
        <v>21</v>
      </c>
      <c r="J148" s="2"/>
      <c r="K148" s="2">
        <v>32</v>
      </c>
      <c r="L148" s="2" t="s">
        <v>21</v>
      </c>
      <c r="M148" s="2">
        <v>0</v>
      </c>
      <c r="N148" s="2">
        <v>1</v>
      </c>
      <c r="O148" s="2">
        <v>1</v>
      </c>
      <c r="P148" s="2">
        <v>0</v>
      </c>
      <c r="Q148" s="2">
        <v>0</v>
      </c>
      <c r="R148" s="2">
        <v>4</v>
      </c>
      <c r="S148" s="2"/>
      <c r="T148" s="2"/>
      <c r="U148" s="2"/>
      <c r="V148" s="2"/>
      <c r="W148" s="2"/>
      <c r="X148" s="2"/>
      <c r="Y148">
        <f t="shared" si="4"/>
        <v>2</v>
      </c>
      <c r="Z148">
        <f t="shared" si="5"/>
        <v>2</v>
      </c>
    </row>
    <row r="149" spans="1:26" x14ac:dyDescent="0.25">
      <c r="A149" s="2" t="s">
        <v>490</v>
      </c>
      <c r="B149" s="8">
        <v>28</v>
      </c>
      <c r="C149" s="2" t="s">
        <v>19</v>
      </c>
      <c r="D149" s="8" t="s">
        <v>27</v>
      </c>
      <c r="E149" s="2">
        <v>12</v>
      </c>
      <c r="F149" s="2">
        <v>30</v>
      </c>
      <c r="G149" s="2"/>
      <c r="H149" s="2">
        <v>15</v>
      </c>
      <c r="I149" s="2"/>
      <c r="J149" s="2">
        <v>37</v>
      </c>
      <c r="K149" s="13">
        <v>27</v>
      </c>
      <c r="L149" s="2" t="s">
        <v>21</v>
      </c>
      <c r="M149" s="2"/>
      <c r="N149" s="2"/>
      <c r="O149" s="2"/>
      <c r="P149" s="2"/>
      <c r="Q149" s="2"/>
      <c r="R149" s="2"/>
      <c r="S149" s="2">
        <v>0</v>
      </c>
      <c r="T149" s="2">
        <v>0</v>
      </c>
      <c r="U149" s="2">
        <v>0</v>
      </c>
      <c r="V149" s="2">
        <v>1</v>
      </c>
      <c r="W149" s="2">
        <v>0</v>
      </c>
      <c r="X149" s="2">
        <v>1</v>
      </c>
      <c r="Y149">
        <f t="shared" si="4"/>
        <v>1</v>
      </c>
      <c r="Z149">
        <f t="shared" si="5"/>
        <v>1</v>
      </c>
    </row>
    <row r="150" spans="1:26" x14ac:dyDescent="0.25">
      <c r="A150" s="2" t="s">
        <v>491</v>
      </c>
      <c r="B150" s="8">
        <v>29</v>
      </c>
      <c r="C150" s="2" t="s">
        <v>19</v>
      </c>
      <c r="D150" s="8" t="s">
        <v>27</v>
      </c>
      <c r="E150" s="2">
        <v>14</v>
      </c>
      <c r="F150" s="2">
        <v>13</v>
      </c>
      <c r="G150" s="2">
        <v>12</v>
      </c>
      <c r="H150" s="2">
        <v>34</v>
      </c>
      <c r="I150" s="2">
        <v>54</v>
      </c>
      <c r="J150" s="2">
        <v>54</v>
      </c>
      <c r="K150" s="2">
        <v>29</v>
      </c>
      <c r="L150" s="2">
        <v>3396</v>
      </c>
      <c r="M150" s="2">
        <v>0</v>
      </c>
      <c r="N150" s="2">
        <v>0</v>
      </c>
      <c r="O150" s="2">
        <v>1</v>
      </c>
      <c r="P150" s="2">
        <v>0</v>
      </c>
      <c r="Q150" s="2">
        <v>0</v>
      </c>
      <c r="R150" s="2">
        <v>3</v>
      </c>
      <c r="S150" s="2">
        <v>0</v>
      </c>
      <c r="T150" s="2">
        <v>0</v>
      </c>
      <c r="U150" s="2">
        <v>1</v>
      </c>
      <c r="V150" s="2">
        <v>0</v>
      </c>
      <c r="W150" s="2">
        <v>0</v>
      </c>
      <c r="X150" s="2">
        <v>1</v>
      </c>
      <c r="Y150">
        <f t="shared" si="4"/>
        <v>2</v>
      </c>
      <c r="Z150">
        <f t="shared" si="5"/>
        <v>2</v>
      </c>
    </row>
    <row r="151" spans="1:26" x14ac:dyDescent="0.25">
      <c r="A151" s="2" t="s">
        <v>492</v>
      </c>
      <c r="B151" s="8">
        <v>30</v>
      </c>
      <c r="C151" s="2" t="s">
        <v>19</v>
      </c>
      <c r="D151" s="8" t="s">
        <v>27</v>
      </c>
      <c r="E151" s="2">
        <v>13</v>
      </c>
      <c r="F151" s="2">
        <v>13</v>
      </c>
      <c r="G151" s="2"/>
      <c r="H151" s="2">
        <v>43</v>
      </c>
      <c r="I151" s="2"/>
      <c r="J151" s="2">
        <v>54</v>
      </c>
      <c r="K151" s="2">
        <v>30</v>
      </c>
      <c r="L151" s="2">
        <v>207</v>
      </c>
      <c r="M151" s="2"/>
      <c r="N151" s="2"/>
      <c r="O151" s="2"/>
      <c r="P151" s="2"/>
      <c r="Q151" s="2"/>
      <c r="R151" s="2"/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2</v>
      </c>
      <c r="Y151">
        <f t="shared" si="4"/>
        <v>1</v>
      </c>
      <c r="Z151">
        <f t="shared" si="5"/>
        <v>2</v>
      </c>
    </row>
    <row r="152" spans="1:26" x14ac:dyDescent="0.25">
      <c r="A152" s="2" t="s">
        <v>493</v>
      </c>
      <c r="B152" s="8">
        <v>31</v>
      </c>
      <c r="C152" s="2" t="s">
        <v>19</v>
      </c>
      <c r="D152" s="8" t="s">
        <v>27</v>
      </c>
      <c r="E152" s="2">
        <v>13</v>
      </c>
      <c r="F152" s="2">
        <v>28</v>
      </c>
      <c r="G152" s="2"/>
      <c r="H152" s="2"/>
      <c r="I152" s="2"/>
      <c r="J152" s="2"/>
      <c r="K152" s="2">
        <v>30</v>
      </c>
      <c r="L152" s="2">
        <v>511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>
        <f t="shared" si="4"/>
        <v>0</v>
      </c>
      <c r="Z152" t="e">
        <f t="shared" si="5"/>
        <v>#DIV/0!</v>
      </c>
    </row>
    <row r="153" spans="1:26" x14ac:dyDescent="0.25">
      <c r="A153" s="2" t="s">
        <v>494</v>
      </c>
      <c r="B153" s="8">
        <v>32</v>
      </c>
      <c r="C153" s="2" t="s">
        <v>19</v>
      </c>
      <c r="D153" s="8" t="s">
        <v>27</v>
      </c>
      <c r="E153" s="2">
        <v>16</v>
      </c>
      <c r="F153" s="2">
        <v>22</v>
      </c>
      <c r="G153" s="2">
        <v>27</v>
      </c>
      <c r="H153" s="2"/>
      <c r="I153" s="2">
        <v>53</v>
      </c>
      <c r="J153" s="2"/>
      <c r="K153" s="2">
        <v>31</v>
      </c>
      <c r="L153" s="2">
        <v>841</v>
      </c>
      <c r="M153" s="2">
        <v>1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/>
      <c r="T153" s="2"/>
      <c r="U153" s="2"/>
      <c r="V153" s="2"/>
      <c r="W153" s="2"/>
      <c r="X153" s="2"/>
      <c r="Y153">
        <f t="shared" si="4"/>
        <v>1</v>
      </c>
      <c r="Z153">
        <f t="shared" si="5"/>
        <v>1</v>
      </c>
    </row>
    <row r="154" spans="1:26" x14ac:dyDescent="0.25">
      <c r="A154" s="2" t="s">
        <v>495</v>
      </c>
      <c r="B154" s="8">
        <v>33</v>
      </c>
      <c r="C154" s="2" t="s">
        <v>19</v>
      </c>
      <c r="D154" s="8" t="s">
        <v>27</v>
      </c>
      <c r="E154" s="2">
        <v>14.5</v>
      </c>
      <c r="F154" s="2">
        <v>30</v>
      </c>
      <c r="G154" s="2">
        <v>19</v>
      </c>
      <c r="H154" s="2">
        <v>33</v>
      </c>
      <c r="I154" s="2">
        <v>50</v>
      </c>
      <c r="J154" s="2">
        <v>55</v>
      </c>
      <c r="K154" s="2">
        <v>33</v>
      </c>
      <c r="L154" s="2" t="s">
        <v>21</v>
      </c>
      <c r="M154" s="2">
        <v>1</v>
      </c>
      <c r="N154" s="2">
        <v>0</v>
      </c>
      <c r="O154" s="2">
        <v>1</v>
      </c>
      <c r="P154" s="2">
        <v>0</v>
      </c>
      <c r="Q154" s="2">
        <v>0</v>
      </c>
      <c r="R154" s="2">
        <v>6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3</v>
      </c>
      <c r="Y154">
        <f t="shared" si="4"/>
        <v>3</v>
      </c>
      <c r="Z154">
        <f t="shared" si="5"/>
        <v>3</v>
      </c>
    </row>
    <row r="155" spans="1:26" x14ac:dyDescent="0.25">
      <c r="A155" s="2" t="s">
        <v>496</v>
      </c>
      <c r="B155" s="8">
        <v>34</v>
      </c>
      <c r="C155" s="2" t="s">
        <v>19</v>
      </c>
      <c r="D155" s="8" t="s">
        <v>27</v>
      </c>
      <c r="E155" s="2">
        <v>12</v>
      </c>
      <c r="F155" s="2">
        <v>29</v>
      </c>
      <c r="G155" s="2">
        <v>13</v>
      </c>
      <c r="H155" s="2">
        <v>29</v>
      </c>
      <c r="I155" s="2">
        <v>53</v>
      </c>
      <c r="J155" s="2">
        <v>52</v>
      </c>
      <c r="K155" s="2">
        <v>30</v>
      </c>
      <c r="L155" s="2">
        <v>1242</v>
      </c>
      <c r="M155" s="2">
        <v>0</v>
      </c>
      <c r="N155" s="2">
        <v>1</v>
      </c>
      <c r="O155" s="2">
        <v>0</v>
      </c>
      <c r="P155" s="2">
        <v>0</v>
      </c>
      <c r="Q155" s="2">
        <v>0</v>
      </c>
      <c r="R155" s="2">
        <v>1</v>
      </c>
      <c r="S155" s="2">
        <v>2</v>
      </c>
      <c r="T155" s="2">
        <v>0</v>
      </c>
      <c r="U155" s="2">
        <v>1</v>
      </c>
      <c r="V155" s="2">
        <v>0</v>
      </c>
      <c r="W155" s="2">
        <v>0</v>
      </c>
      <c r="X155" s="2">
        <v>12</v>
      </c>
      <c r="Y155">
        <f t="shared" si="4"/>
        <v>4</v>
      </c>
      <c r="Z155">
        <f t="shared" si="5"/>
        <v>3.25</v>
      </c>
    </row>
    <row r="156" spans="1:26" x14ac:dyDescent="0.25">
      <c r="A156" s="2" t="s">
        <v>497</v>
      </c>
      <c r="B156" s="8">
        <v>35</v>
      </c>
      <c r="C156" s="2" t="s">
        <v>19</v>
      </c>
      <c r="D156" s="8" t="s">
        <v>27</v>
      </c>
      <c r="E156" s="2">
        <v>15</v>
      </c>
      <c r="F156" s="2">
        <v>19</v>
      </c>
      <c r="G156" s="2">
        <v>23</v>
      </c>
      <c r="H156" s="2">
        <v>59</v>
      </c>
      <c r="I156" s="2">
        <v>50</v>
      </c>
      <c r="J156" s="2">
        <v>50</v>
      </c>
      <c r="K156" s="2">
        <v>35</v>
      </c>
      <c r="L156" s="2">
        <v>955</v>
      </c>
      <c r="M156" s="2">
        <v>1</v>
      </c>
      <c r="N156" s="2">
        <v>0</v>
      </c>
      <c r="O156" s="2">
        <v>0</v>
      </c>
      <c r="P156" s="2">
        <v>0</v>
      </c>
      <c r="Q156" s="2">
        <v>0</v>
      </c>
      <c r="R156" s="2">
        <v>8</v>
      </c>
      <c r="S156" s="2">
        <v>0</v>
      </c>
      <c r="T156" s="2">
        <v>2</v>
      </c>
      <c r="U156" s="2">
        <v>0</v>
      </c>
      <c r="V156" s="2">
        <v>0</v>
      </c>
      <c r="W156" s="2">
        <v>0</v>
      </c>
      <c r="X156" s="2">
        <v>3</v>
      </c>
      <c r="Y156">
        <f t="shared" si="4"/>
        <v>3</v>
      </c>
      <c r="Z156">
        <f t="shared" si="5"/>
        <v>3.6666666666666665</v>
      </c>
    </row>
    <row r="157" spans="1:26" x14ac:dyDescent="0.25">
      <c r="A157" s="2" t="s">
        <v>498</v>
      </c>
      <c r="B157" s="8">
        <v>36</v>
      </c>
      <c r="C157" s="2" t="s">
        <v>19</v>
      </c>
      <c r="D157" s="8" t="s">
        <v>27</v>
      </c>
      <c r="E157" s="2">
        <v>13.5</v>
      </c>
      <c r="F157" s="2">
        <v>26.5</v>
      </c>
      <c r="G157" s="2">
        <v>17</v>
      </c>
      <c r="H157" s="2"/>
      <c r="I157" s="2">
        <v>42</v>
      </c>
      <c r="J157" s="2"/>
      <c r="K157" s="2">
        <v>31</v>
      </c>
      <c r="L157" s="2" t="s">
        <v>21</v>
      </c>
      <c r="M157" s="2">
        <v>2</v>
      </c>
      <c r="N157" s="2">
        <v>0</v>
      </c>
      <c r="O157" s="2">
        <v>0</v>
      </c>
      <c r="P157" s="2">
        <v>0</v>
      </c>
      <c r="Q157" s="2">
        <v>0</v>
      </c>
      <c r="R157" s="2">
        <v>2</v>
      </c>
      <c r="S157" s="2"/>
      <c r="T157" s="2"/>
      <c r="U157" s="2"/>
      <c r="V157" s="2"/>
      <c r="W157" s="2"/>
      <c r="X157" s="2"/>
      <c r="Y157">
        <f t="shared" si="4"/>
        <v>2</v>
      </c>
      <c r="Z157">
        <f t="shared" si="5"/>
        <v>1</v>
      </c>
    </row>
    <row r="158" spans="1:26" x14ac:dyDescent="0.25">
      <c r="A158" s="2" t="s">
        <v>499</v>
      </c>
      <c r="B158" s="8">
        <v>37</v>
      </c>
      <c r="C158" s="2" t="s">
        <v>19</v>
      </c>
      <c r="D158" s="8" t="s">
        <v>27</v>
      </c>
      <c r="E158" s="2">
        <v>17</v>
      </c>
      <c r="F158" s="2">
        <v>20</v>
      </c>
      <c r="G158" s="2">
        <v>31</v>
      </c>
      <c r="H158" s="2">
        <v>38</v>
      </c>
      <c r="I158" s="2">
        <v>48</v>
      </c>
      <c r="J158" s="2">
        <v>61</v>
      </c>
      <c r="K158" s="2">
        <v>36</v>
      </c>
      <c r="L158" s="2">
        <v>1008</v>
      </c>
      <c r="M158" s="2">
        <v>2</v>
      </c>
      <c r="N158" s="2">
        <v>0</v>
      </c>
      <c r="O158" s="2">
        <v>0</v>
      </c>
      <c r="P158" s="2">
        <v>0</v>
      </c>
      <c r="Q158" s="2">
        <v>0</v>
      </c>
      <c r="R158" s="2">
        <v>6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6</v>
      </c>
      <c r="Y158">
        <f t="shared" si="4"/>
        <v>3</v>
      </c>
      <c r="Z158">
        <f t="shared" si="5"/>
        <v>4</v>
      </c>
    </row>
    <row r="159" spans="1:26" x14ac:dyDescent="0.25">
      <c r="A159" s="2" t="s">
        <v>500</v>
      </c>
      <c r="B159" s="8">
        <v>38</v>
      </c>
      <c r="C159" s="2" t="s">
        <v>19</v>
      </c>
      <c r="D159" s="8" t="s">
        <v>27</v>
      </c>
      <c r="E159" s="2">
        <v>15.5</v>
      </c>
      <c r="F159" s="2">
        <v>26</v>
      </c>
      <c r="G159" s="2"/>
      <c r="H159" s="2">
        <v>42</v>
      </c>
      <c r="I159" s="2"/>
      <c r="J159" s="2">
        <v>44</v>
      </c>
      <c r="K159" s="2">
        <v>34</v>
      </c>
      <c r="L159" s="2">
        <v>769</v>
      </c>
      <c r="M159" s="2"/>
      <c r="N159" s="2"/>
      <c r="O159" s="2"/>
      <c r="P159" s="2"/>
      <c r="Q159" s="2"/>
      <c r="R159" s="2"/>
      <c r="S159" s="2">
        <v>0</v>
      </c>
      <c r="T159" s="2">
        <v>1</v>
      </c>
      <c r="U159" s="2">
        <v>1</v>
      </c>
      <c r="V159" s="2">
        <v>0</v>
      </c>
      <c r="W159" s="2">
        <v>0</v>
      </c>
      <c r="X159" s="2">
        <v>4</v>
      </c>
      <c r="Y159">
        <f t="shared" si="4"/>
        <v>2</v>
      </c>
      <c r="Z159">
        <f t="shared" si="5"/>
        <v>2</v>
      </c>
    </row>
    <row r="160" spans="1:26" x14ac:dyDescent="0.25">
      <c r="A160" s="2" t="s">
        <v>501</v>
      </c>
      <c r="B160" s="8">
        <v>39</v>
      </c>
      <c r="C160" s="2" t="s">
        <v>19</v>
      </c>
      <c r="D160" s="8" t="s">
        <v>27</v>
      </c>
      <c r="E160" s="2">
        <v>12</v>
      </c>
      <c r="F160" s="2">
        <v>22</v>
      </c>
      <c r="G160" s="2">
        <v>17</v>
      </c>
      <c r="H160" s="2">
        <v>38</v>
      </c>
      <c r="I160" s="2">
        <v>42</v>
      </c>
      <c r="J160" s="2">
        <v>50</v>
      </c>
      <c r="K160" s="2">
        <v>28</v>
      </c>
      <c r="L160" s="2">
        <v>670</v>
      </c>
      <c r="M160" s="2">
        <v>0</v>
      </c>
      <c r="N160" s="2">
        <v>0</v>
      </c>
      <c r="O160" s="2">
        <v>1</v>
      </c>
      <c r="P160" s="2">
        <v>0</v>
      </c>
      <c r="Q160" s="2">
        <v>0</v>
      </c>
      <c r="R160" s="2">
        <v>1</v>
      </c>
      <c r="S160" s="2">
        <v>2</v>
      </c>
      <c r="T160" s="2">
        <v>0</v>
      </c>
      <c r="U160" s="2">
        <v>0</v>
      </c>
      <c r="V160" s="2">
        <v>0</v>
      </c>
      <c r="W160" s="2">
        <v>0</v>
      </c>
      <c r="X160" s="2">
        <v>2</v>
      </c>
      <c r="Y160">
        <f t="shared" si="4"/>
        <v>3</v>
      </c>
      <c r="Z160">
        <f t="shared" si="5"/>
        <v>1</v>
      </c>
    </row>
    <row r="161" spans="1:26" x14ac:dyDescent="0.25">
      <c r="A161" s="2" t="s">
        <v>502</v>
      </c>
      <c r="B161" s="8">
        <v>40</v>
      </c>
      <c r="C161" s="2" t="s">
        <v>19</v>
      </c>
      <c r="D161" s="8" t="s">
        <v>27</v>
      </c>
      <c r="E161" s="2">
        <v>18</v>
      </c>
      <c r="F161" s="2">
        <v>31.5</v>
      </c>
      <c r="G161" s="2">
        <v>26</v>
      </c>
      <c r="H161" s="2">
        <v>22</v>
      </c>
      <c r="I161" s="2">
        <v>54</v>
      </c>
      <c r="J161" s="2">
        <v>54</v>
      </c>
      <c r="K161" s="2">
        <v>33</v>
      </c>
      <c r="L161" s="2" t="s">
        <v>21</v>
      </c>
      <c r="M161" s="2">
        <v>1</v>
      </c>
      <c r="N161" s="2">
        <v>0</v>
      </c>
      <c r="O161" s="2">
        <v>3</v>
      </c>
      <c r="P161" s="2">
        <v>0</v>
      </c>
      <c r="Q161" s="2">
        <v>0</v>
      </c>
      <c r="R161" s="2">
        <v>14</v>
      </c>
      <c r="S161" s="2">
        <v>1</v>
      </c>
      <c r="T161" s="2">
        <v>2</v>
      </c>
      <c r="U161" s="2">
        <v>0</v>
      </c>
      <c r="V161" s="2">
        <v>0</v>
      </c>
      <c r="W161" s="2">
        <v>0</v>
      </c>
      <c r="X161" s="2">
        <v>3</v>
      </c>
      <c r="Y161">
        <f t="shared" si="4"/>
        <v>7</v>
      </c>
      <c r="Z161">
        <f t="shared" si="5"/>
        <v>2.4285714285714284</v>
      </c>
    </row>
    <row r="162" spans="1:26" x14ac:dyDescent="0.25">
      <c r="A162" s="2" t="s">
        <v>479</v>
      </c>
      <c r="B162" s="8" t="s">
        <v>792</v>
      </c>
      <c r="C162" s="2" t="s">
        <v>19</v>
      </c>
      <c r="D162" s="8" t="s">
        <v>27</v>
      </c>
      <c r="E162" s="2">
        <v>13</v>
      </c>
      <c r="F162" s="2">
        <v>15.5</v>
      </c>
      <c r="G162" s="2">
        <v>42</v>
      </c>
      <c r="H162" s="2">
        <v>30</v>
      </c>
      <c r="I162" s="2">
        <v>46</v>
      </c>
      <c r="J162" s="2">
        <v>54</v>
      </c>
      <c r="K162" s="2">
        <v>30</v>
      </c>
      <c r="L162" s="2">
        <v>836</v>
      </c>
      <c r="M162" s="2">
        <v>1</v>
      </c>
      <c r="N162" s="2">
        <v>0</v>
      </c>
      <c r="O162" s="2">
        <v>0</v>
      </c>
      <c r="P162" s="2">
        <v>0</v>
      </c>
      <c r="Q162" s="2">
        <v>0</v>
      </c>
      <c r="R162" s="2">
        <v>2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3</v>
      </c>
      <c r="Y162">
        <f t="shared" si="4"/>
        <v>2</v>
      </c>
      <c r="Z162">
        <f t="shared" si="5"/>
        <v>2.5</v>
      </c>
    </row>
    <row r="163" spans="1:26" x14ac:dyDescent="0.25">
      <c r="A163" s="2" t="s">
        <v>548</v>
      </c>
      <c r="B163" s="8">
        <v>21</v>
      </c>
      <c r="C163" s="2" t="s">
        <v>26</v>
      </c>
      <c r="D163" s="8" t="s">
        <v>27</v>
      </c>
      <c r="E163" s="2">
        <v>20</v>
      </c>
      <c r="F163" s="2">
        <v>38</v>
      </c>
      <c r="G163" s="2">
        <v>58</v>
      </c>
      <c r="H163" s="2"/>
      <c r="I163" s="2">
        <v>45</v>
      </c>
      <c r="J163" s="2"/>
      <c r="K163" s="2">
        <v>39</v>
      </c>
      <c r="L163" s="2" t="s">
        <v>21</v>
      </c>
      <c r="M163" s="2">
        <v>2</v>
      </c>
      <c r="N163" s="2">
        <v>1</v>
      </c>
      <c r="O163" s="2">
        <v>0</v>
      </c>
      <c r="P163" s="2">
        <v>0</v>
      </c>
      <c r="Q163" s="2">
        <v>0</v>
      </c>
      <c r="R163" s="2">
        <v>18</v>
      </c>
      <c r="S163" s="2"/>
      <c r="T163" s="2"/>
      <c r="U163" s="2"/>
      <c r="V163" s="2"/>
      <c r="W163" s="2"/>
      <c r="X163" s="2"/>
      <c r="Y163">
        <f t="shared" si="4"/>
        <v>3</v>
      </c>
      <c r="Z163">
        <f t="shared" si="5"/>
        <v>6</v>
      </c>
    </row>
    <row r="164" spans="1:26" x14ac:dyDescent="0.25">
      <c r="A164" s="2" t="s">
        <v>549</v>
      </c>
      <c r="B164" s="8">
        <v>22</v>
      </c>
      <c r="C164" s="2" t="s">
        <v>26</v>
      </c>
      <c r="D164" s="8" t="s">
        <v>27</v>
      </c>
      <c r="E164" s="2">
        <v>20</v>
      </c>
      <c r="F164" s="2">
        <v>28.5</v>
      </c>
      <c r="G164" s="2"/>
      <c r="H164" s="2"/>
      <c r="I164" s="2"/>
      <c r="J164" s="2"/>
      <c r="K164" s="2">
        <v>30</v>
      </c>
      <c r="L164" s="2" t="s">
        <v>21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>
        <f t="shared" si="4"/>
        <v>0</v>
      </c>
      <c r="Z164" t="e">
        <f t="shared" si="5"/>
        <v>#DIV/0!</v>
      </c>
    </row>
    <row r="165" spans="1:26" x14ac:dyDescent="0.25">
      <c r="A165" s="2" t="s">
        <v>550</v>
      </c>
      <c r="B165" s="8">
        <v>23</v>
      </c>
      <c r="C165" s="2" t="s">
        <v>26</v>
      </c>
      <c r="D165" s="8" t="s">
        <v>27</v>
      </c>
      <c r="E165" s="2">
        <v>15</v>
      </c>
      <c r="F165" s="2">
        <v>29</v>
      </c>
      <c r="G165" s="2">
        <v>29</v>
      </c>
      <c r="H165" s="2"/>
      <c r="I165" s="2">
        <v>55</v>
      </c>
      <c r="J165" s="2"/>
      <c r="K165" s="2">
        <v>31</v>
      </c>
      <c r="L165" s="2" t="s">
        <v>21</v>
      </c>
      <c r="M165" s="2">
        <v>0</v>
      </c>
      <c r="N165" s="2">
        <v>0</v>
      </c>
      <c r="O165" s="2">
        <v>1</v>
      </c>
      <c r="P165" s="2">
        <v>0</v>
      </c>
      <c r="Q165" s="2">
        <v>0</v>
      </c>
      <c r="R165" s="2">
        <v>1</v>
      </c>
      <c r="S165" s="2"/>
      <c r="T165" s="2"/>
      <c r="U165" s="2"/>
      <c r="V165" s="2"/>
      <c r="W165" s="2"/>
      <c r="X165" s="2"/>
      <c r="Y165">
        <f t="shared" si="4"/>
        <v>1</v>
      </c>
      <c r="Z165">
        <f t="shared" si="5"/>
        <v>1</v>
      </c>
    </row>
    <row r="166" spans="1:26" x14ac:dyDescent="0.25">
      <c r="A166" s="2" t="s">
        <v>551</v>
      </c>
      <c r="B166" s="8">
        <v>24</v>
      </c>
      <c r="C166" s="2" t="s">
        <v>26</v>
      </c>
      <c r="D166" s="8" t="s">
        <v>27</v>
      </c>
      <c r="E166" s="2">
        <v>20</v>
      </c>
      <c r="F166" s="2">
        <v>25</v>
      </c>
      <c r="G166" s="2">
        <v>13</v>
      </c>
      <c r="H166" s="2">
        <v>46</v>
      </c>
      <c r="I166" s="2">
        <v>63</v>
      </c>
      <c r="J166" s="2">
        <v>78</v>
      </c>
      <c r="K166" s="2">
        <v>32</v>
      </c>
      <c r="L166" s="2">
        <v>677</v>
      </c>
      <c r="M166" s="2">
        <v>0</v>
      </c>
      <c r="N166" s="2">
        <v>0</v>
      </c>
      <c r="O166" s="2">
        <v>3</v>
      </c>
      <c r="P166" s="2">
        <v>0</v>
      </c>
      <c r="Q166" s="2">
        <v>0</v>
      </c>
      <c r="R166" s="2">
        <v>5</v>
      </c>
      <c r="S166" s="2">
        <v>1</v>
      </c>
      <c r="T166" s="2">
        <v>2</v>
      </c>
      <c r="U166" s="2">
        <v>0</v>
      </c>
      <c r="V166" s="2">
        <v>0</v>
      </c>
      <c r="W166" s="2">
        <v>0</v>
      </c>
      <c r="X166" s="2">
        <v>15</v>
      </c>
      <c r="Y166">
        <f t="shared" si="4"/>
        <v>6</v>
      </c>
      <c r="Z166">
        <f t="shared" si="5"/>
        <v>3.3333333333333335</v>
      </c>
    </row>
    <row r="167" spans="1:26" x14ac:dyDescent="0.25">
      <c r="A167" s="2" t="s">
        <v>552</v>
      </c>
      <c r="B167" s="8">
        <v>25</v>
      </c>
      <c r="C167" s="2" t="s">
        <v>26</v>
      </c>
      <c r="D167" s="8" t="s">
        <v>27</v>
      </c>
      <c r="E167" s="2">
        <v>10.5</v>
      </c>
      <c r="F167" s="2">
        <v>16</v>
      </c>
      <c r="G167" s="2"/>
      <c r="H167" s="2">
        <v>27</v>
      </c>
      <c r="I167" s="2"/>
      <c r="J167" s="2">
        <v>32</v>
      </c>
      <c r="K167" s="2">
        <v>29</v>
      </c>
      <c r="L167" s="2">
        <v>425</v>
      </c>
      <c r="M167" s="2"/>
      <c r="N167" s="2"/>
      <c r="O167" s="2"/>
      <c r="P167" s="2"/>
      <c r="Q167" s="2"/>
      <c r="R167" s="2"/>
      <c r="S167" s="2">
        <v>0</v>
      </c>
      <c r="T167" s="2">
        <v>0</v>
      </c>
      <c r="U167" s="2">
        <v>2</v>
      </c>
      <c r="V167" s="2">
        <v>0</v>
      </c>
      <c r="W167" s="2">
        <v>0</v>
      </c>
      <c r="X167" s="2">
        <v>4</v>
      </c>
      <c r="Y167">
        <f t="shared" si="4"/>
        <v>2</v>
      </c>
      <c r="Z167">
        <f t="shared" si="5"/>
        <v>2</v>
      </c>
    </row>
    <row r="168" spans="1:26" x14ac:dyDescent="0.25">
      <c r="A168" s="2" t="s">
        <v>553</v>
      </c>
      <c r="B168" s="8">
        <v>26</v>
      </c>
      <c r="C168" s="2" t="s">
        <v>26</v>
      </c>
      <c r="D168" s="8" t="s">
        <v>27</v>
      </c>
      <c r="E168" s="2">
        <v>16</v>
      </c>
      <c r="F168" s="2" t="s">
        <v>21</v>
      </c>
      <c r="G168" s="2"/>
      <c r="H168" s="2"/>
      <c r="I168" s="2"/>
      <c r="J168" s="2"/>
      <c r="K168" s="2">
        <v>33</v>
      </c>
      <c r="L168" s="2" t="s">
        <v>21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>
        <f t="shared" si="4"/>
        <v>0</v>
      </c>
      <c r="Z168" t="e">
        <f t="shared" si="5"/>
        <v>#DIV/0!</v>
      </c>
    </row>
    <row r="169" spans="1:26" x14ac:dyDescent="0.25">
      <c r="A169" s="2" t="s">
        <v>555</v>
      </c>
      <c r="B169" s="8">
        <v>27</v>
      </c>
      <c r="C169" s="2" t="s">
        <v>26</v>
      </c>
      <c r="D169" s="8" t="s">
        <v>27</v>
      </c>
      <c r="E169" s="2">
        <v>16</v>
      </c>
      <c r="F169" s="2">
        <v>23</v>
      </c>
      <c r="G169" s="2">
        <v>19</v>
      </c>
      <c r="H169" s="2">
        <v>32</v>
      </c>
      <c r="I169" s="2">
        <v>47</v>
      </c>
      <c r="J169" s="2">
        <v>55</v>
      </c>
      <c r="K169" s="2">
        <v>28</v>
      </c>
      <c r="L169" s="2" t="s">
        <v>21</v>
      </c>
      <c r="M169" s="2">
        <v>0</v>
      </c>
      <c r="N169" s="2">
        <v>0</v>
      </c>
      <c r="O169" s="2">
        <v>1</v>
      </c>
      <c r="P169" s="2">
        <v>0</v>
      </c>
      <c r="Q169" s="2">
        <v>0</v>
      </c>
      <c r="R169" s="2">
        <v>2</v>
      </c>
      <c r="S169" s="2">
        <v>1</v>
      </c>
      <c r="T169" s="2">
        <v>0</v>
      </c>
      <c r="U169" s="2">
        <v>1</v>
      </c>
      <c r="V169" s="2">
        <v>0</v>
      </c>
      <c r="W169" s="2">
        <v>0</v>
      </c>
      <c r="X169" s="2">
        <v>6</v>
      </c>
      <c r="Y169">
        <f t="shared" si="4"/>
        <v>3</v>
      </c>
      <c r="Z169">
        <f t="shared" si="5"/>
        <v>2.6666666666666665</v>
      </c>
    </row>
    <row r="170" spans="1:26" x14ac:dyDescent="0.25">
      <c r="A170" s="2" t="s">
        <v>556</v>
      </c>
      <c r="B170" s="8">
        <v>28</v>
      </c>
      <c r="C170" s="2" t="s">
        <v>26</v>
      </c>
      <c r="D170" s="8" t="s">
        <v>27</v>
      </c>
      <c r="E170" s="2">
        <v>15</v>
      </c>
      <c r="F170" s="2">
        <v>32</v>
      </c>
      <c r="G170" s="2">
        <v>22</v>
      </c>
      <c r="H170" s="2"/>
      <c r="I170" s="2">
        <v>44</v>
      </c>
      <c r="J170" s="2"/>
      <c r="K170" s="2">
        <v>31</v>
      </c>
      <c r="L170" s="2">
        <v>1906</v>
      </c>
      <c r="M170" s="2">
        <v>0</v>
      </c>
      <c r="N170" s="2">
        <v>0</v>
      </c>
      <c r="O170" s="2">
        <v>1</v>
      </c>
      <c r="P170" s="2">
        <v>0</v>
      </c>
      <c r="Q170" s="2">
        <v>0</v>
      </c>
      <c r="R170" s="2">
        <v>3</v>
      </c>
      <c r="S170" s="2"/>
      <c r="T170" s="2"/>
      <c r="U170" s="2"/>
      <c r="V170" s="2"/>
      <c r="W170" s="2"/>
      <c r="X170" s="2"/>
      <c r="Y170">
        <f t="shared" si="4"/>
        <v>1</v>
      </c>
      <c r="Z170">
        <f t="shared" si="5"/>
        <v>3</v>
      </c>
    </row>
    <row r="171" spans="1:26" x14ac:dyDescent="0.25">
      <c r="A171" s="2" t="s">
        <v>557</v>
      </c>
      <c r="B171" s="8">
        <v>29</v>
      </c>
      <c r="C171" s="2" t="s">
        <v>26</v>
      </c>
      <c r="D171" s="8" t="s">
        <v>27</v>
      </c>
      <c r="E171" s="2">
        <v>13</v>
      </c>
      <c r="F171" s="2">
        <v>18</v>
      </c>
      <c r="G171" s="2">
        <v>19</v>
      </c>
      <c r="H171" s="2">
        <v>21</v>
      </c>
      <c r="I171" s="2">
        <v>60</v>
      </c>
      <c r="J171" s="2">
        <v>54</v>
      </c>
      <c r="K171" s="2">
        <v>32</v>
      </c>
      <c r="L171" s="2" t="s">
        <v>21</v>
      </c>
      <c r="M171" s="2">
        <v>1</v>
      </c>
      <c r="N171" s="2">
        <v>1</v>
      </c>
      <c r="O171" s="2">
        <v>0</v>
      </c>
      <c r="P171" s="2">
        <v>0</v>
      </c>
      <c r="Q171" s="2">
        <v>0</v>
      </c>
      <c r="R171" s="2">
        <v>5</v>
      </c>
      <c r="S171" s="2">
        <v>0</v>
      </c>
      <c r="T171" s="2">
        <v>0</v>
      </c>
      <c r="U171" s="2">
        <v>1</v>
      </c>
      <c r="V171" s="2">
        <v>0</v>
      </c>
      <c r="W171" s="2">
        <v>0</v>
      </c>
      <c r="X171" s="2">
        <v>3</v>
      </c>
      <c r="Y171">
        <f t="shared" si="4"/>
        <v>3</v>
      </c>
      <c r="Z171">
        <f t="shared" si="5"/>
        <v>2.6666666666666665</v>
      </c>
    </row>
    <row r="172" spans="1:26" x14ac:dyDescent="0.25">
      <c r="A172" s="2" t="s">
        <v>558</v>
      </c>
      <c r="B172" s="8">
        <v>30</v>
      </c>
      <c r="C172" s="2" t="s">
        <v>26</v>
      </c>
      <c r="D172" s="8" t="s">
        <v>27</v>
      </c>
      <c r="E172" s="2">
        <v>24</v>
      </c>
      <c r="F172" s="2">
        <v>18</v>
      </c>
      <c r="G172" s="2"/>
      <c r="H172" s="2">
        <v>25</v>
      </c>
      <c r="I172" s="2"/>
      <c r="J172" s="2">
        <v>50</v>
      </c>
      <c r="K172" s="2">
        <v>30</v>
      </c>
      <c r="L172" s="2">
        <v>570</v>
      </c>
      <c r="M172" s="2"/>
      <c r="N172" s="2"/>
      <c r="O172" s="2"/>
      <c r="P172" s="2"/>
      <c r="Q172" s="2"/>
      <c r="R172" s="2"/>
      <c r="S172" s="2">
        <v>2</v>
      </c>
      <c r="T172" s="2">
        <v>0</v>
      </c>
      <c r="U172" s="2">
        <v>0</v>
      </c>
      <c r="V172" s="2">
        <v>1</v>
      </c>
      <c r="W172" s="2">
        <v>0</v>
      </c>
      <c r="X172" s="2">
        <v>11</v>
      </c>
      <c r="Y172">
        <f t="shared" si="4"/>
        <v>3</v>
      </c>
      <c r="Z172">
        <f t="shared" si="5"/>
        <v>3.6666666666666665</v>
      </c>
    </row>
    <row r="173" spans="1:26" x14ac:dyDescent="0.25">
      <c r="A173" s="2" t="s">
        <v>559</v>
      </c>
      <c r="B173" s="8">
        <v>31</v>
      </c>
      <c r="C173" s="2" t="s">
        <v>26</v>
      </c>
      <c r="D173" s="8" t="s">
        <v>27</v>
      </c>
      <c r="E173" s="2">
        <v>14</v>
      </c>
      <c r="F173" s="2">
        <v>15</v>
      </c>
      <c r="G173" s="2">
        <v>33</v>
      </c>
      <c r="H173" s="2">
        <v>31</v>
      </c>
      <c r="I173" s="2">
        <v>39</v>
      </c>
      <c r="J173" s="2">
        <v>44</v>
      </c>
      <c r="K173" s="2">
        <v>27</v>
      </c>
      <c r="L173" s="2" t="s">
        <v>21</v>
      </c>
      <c r="M173" s="2">
        <v>0</v>
      </c>
      <c r="N173" s="2">
        <v>0</v>
      </c>
      <c r="O173" s="2">
        <v>1</v>
      </c>
      <c r="P173" s="2">
        <v>0</v>
      </c>
      <c r="Q173" s="2">
        <v>0</v>
      </c>
      <c r="R173" s="2">
        <v>4</v>
      </c>
      <c r="S173" s="2">
        <v>2</v>
      </c>
      <c r="T173" s="2">
        <v>0</v>
      </c>
      <c r="U173" s="2">
        <v>0</v>
      </c>
      <c r="V173" s="2">
        <v>0</v>
      </c>
      <c r="W173" s="2">
        <v>0</v>
      </c>
      <c r="X173" s="2">
        <v>9</v>
      </c>
      <c r="Y173">
        <f t="shared" si="4"/>
        <v>3</v>
      </c>
      <c r="Z173">
        <f t="shared" si="5"/>
        <v>4.333333333333333</v>
      </c>
    </row>
    <row r="174" spans="1:26" x14ac:dyDescent="0.25">
      <c r="A174" s="2" t="s">
        <v>560</v>
      </c>
      <c r="B174" s="8">
        <v>32</v>
      </c>
      <c r="C174" s="2" t="s">
        <v>26</v>
      </c>
      <c r="D174" s="8" t="s">
        <v>27</v>
      </c>
      <c r="E174" s="2">
        <v>16</v>
      </c>
      <c r="F174" s="2">
        <v>1</v>
      </c>
      <c r="G174" s="2">
        <v>34</v>
      </c>
      <c r="H174" s="2"/>
      <c r="I174" s="2">
        <v>63</v>
      </c>
      <c r="J174" s="2"/>
      <c r="K174" s="2">
        <v>31</v>
      </c>
      <c r="L174" s="2" t="s">
        <v>21</v>
      </c>
      <c r="M174" s="2">
        <v>0</v>
      </c>
      <c r="N174" s="2">
        <v>1</v>
      </c>
      <c r="O174" s="2">
        <v>0</v>
      </c>
      <c r="P174" s="2">
        <v>0</v>
      </c>
      <c r="Q174" s="2">
        <v>0</v>
      </c>
      <c r="R174" s="2">
        <v>6</v>
      </c>
      <c r="S174" s="2"/>
      <c r="T174" s="2"/>
      <c r="U174" s="2"/>
      <c r="V174" s="2"/>
      <c r="W174" s="2"/>
      <c r="X174" s="2"/>
      <c r="Y174">
        <f t="shared" si="4"/>
        <v>1</v>
      </c>
      <c r="Z174">
        <f t="shared" si="5"/>
        <v>6</v>
      </c>
    </row>
    <row r="175" spans="1:26" x14ac:dyDescent="0.25">
      <c r="A175" s="2" t="s">
        <v>563</v>
      </c>
      <c r="B175" s="8">
        <v>33</v>
      </c>
      <c r="C175" s="2" t="s">
        <v>26</v>
      </c>
      <c r="D175" s="8" t="s">
        <v>27</v>
      </c>
      <c r="E175" s="2">
        <v>16</v>
      </c>
      <c r="F175" s="2">
        <v>23</v>
      </c>
      <c r="G175" s="2">
        <v>13</v>
      </c>
      <c r="H175" s="2">
        <v>51</v>
      </c>
      <c r="I175" s="2">
        <v>67</v>
      </c>
      <c r="J175" s="2">
        <v>42</v>
      </c>
      <c r="K175" s="2">
        <v>35</v>
      </c>
      <c r="L175" s="2">
        <v>598</v>
      </c>
      <c r="M175" s="2">
        <v>1</v>
      </c>
      <c r="N175" s="2">
        <v>1</v>
      </c>
      <c r="O175" s="2">
        <v>0</v>
      </c>
      <c r="P175" s="2">
        <v>0</v>
      </c>
      <c r="Q175" s="2">
        <v>0</v>
      </c>
      <c r="R175" s="2">
        <v>6</v>
      </c>
      <c r="S175" s="2">
        <v>0</v>
      </c>
      <c r="T175" s="2">
        <v>2</v>
      </c>
      <c r="U175" s="2">
        <v>0</v>
      </c>
      <c r="V175" s="2">
        <v>0</v>
      </c>
      <c r="W175" s="2">
        <v>0</v>
      </c>
      <c r="X175" s="2">
        <v>16</v>
      </c>
      <c r="Y175">
        <f t="shared" si="4"/>
        <v>4</v>
      </c>
      <c r="Z175">
        <f t="shared" si="5"/>
        <v>5.5</v>
      </c>
    </row>
    <row r="176" spans="1:26" x14ac:dyDescent="0.25">
      <c r="A176" s="2" t="s">
        <v>564</v>
      </c>
      <c r="B176" s="8">
        <v>34</v>
      </c>
      <c r="C176" s="2" t="s">
        <v>26</v>
      </c>
      <c r="D176" s="8" t="s">
        <v>27</v>
      </c>
      <c r="E176" s="2">
        <v>16.5</v>
      </c>
      <c r="F176" s="2">
        <v>24.5</v>
      </c>
      <c r="G176" s="2">
        <v>22</v>
      </c>
      <c r="H176" s="2">
        <v>37</v>
      </c>
      <c r="I176" s="2">
        <v>55</v>
      </c>
      <c r="J176" s="2">
        <v>60</v>
      </c>
      <c r="K176" s="2">
        <v>29</v>
      </c>
      <c r="L176" s="2">
        <v>2162</v>
      </c>
      <c r="M176" s="2">
        <v>0</v>
      </c>
      <c r="N176" s="2">
        <v>0</v>
      </c>
      <c r="O176" s="2">
        <v>1</v>
      </c>
      <c r="P176" s="2">
        <v>0</v>
      </c>
      <c r="Q176" s="2">
        <v>0</v>
      </c>
      <c r="R176" s="2">
        <v>2</v>
      </c>
      <c r="S176" s="2">
        <v>0</v>
      </c>
      <c r="T176" s="2">
        <v>2</v>
      </c>
      <c r="U176" s="2">
        <v>0</v>
      </c>
      <c r="V176" s="2">
        <v>0</v>
      </c>
      <c r="W176" s="2">
        <v>0</v>
      </c>
      <c r="X176" s="2">
        <v>4</v>
      </c>
      <c r="Y176">
        <f t="shared" si="4"/>
        <v>3</v>
      </c>
      <c r="Z176">
        <f t="shared" si="5"/>
        <v>2</v>
      </c>
    </row>
    <row r="177" spans="1:26" x14ac:dyDescent="0.25">
      <c r="A177" s="2" t="s">
        <v>565</v>
      </c>
      <c r="B177" s="8">
        <v>35</v>
      </c>
      <c r="C177" s="2" t="s">
        <v>26</v>
      </c>
      <c r="D177" s="8" t="s">
        <v>27</v>
      </c>
      <c r="E177" s="2">
        <v>15</v>
      </c>
      <c r="F177" s="2">
        <v>22</v>
      </c>
      <c r="G177" s="2">
        <v>17</v>
      </c>
      <c r="H177" s="2">
        <v>48</v>
      </c>
      <c r="I177" s="2">
        <v>41</v>
      </c>
      <c r="J177" s="2">
        <v>51</v>
      </c>
      <c r="K177" s="2">
        <v>28</v>
      </c>
      <c r="L177" s="2">
        <v>1204</v>
      </c>
      <c r="M177" s="2">
        <v>0</v>
      </c>
      <c r="N177" s="2">
        <v>0</v>
      </c>
      <c r="O177" s="2">
        <v>1</v>
      </c>
      <c r="P177" s="2">
        <v>0</v>
      </c>
      <c r="Q177" s="2">
        <v>0</v>
      </c>
      <c r="R177" s="2">
        <v>3</v>
      </c>
      <c r="S177" s="2">
        <v>0</v>
      </c>
      <c r="T177" s="2">
        <v>0</v>
      </c>
      <c r="U177" s="2">
        <v>1</v>
      </c>
      <c r="V177" s="2">
        <v>0</v>
      </c>
      <c r="W177" s="2">
        <v>0</v>
      </c>
      <c r="X177" s="2">
        <v>2</v>
      </c>
      <c r="Y177">
        <f t="shared" si="4"/>
        <v>2</v>
      </c>
      <c r="Z177">
        <f t="shared" si="5"/>
        <v>2.5</v>
      </c>
    </row>
    <row r="178" spans="1:26" x14ac:dyDescent="0.25">
      <c r="A178" s="2" t="s">
        <v>566</v>
      </c>
      <c r="B178" s="8">
        <v>36</v>
      </c>
      <c r="C178" s="2" t="s">
        <v>26</v>
      </c>
      <c r="D178" s="8" t="s">
        <v>27</v>
      </c>
      <c r="E178" s="2">
        <v>13</v>
      </c>
      <c r="F178" s="2">
        <v>25</v>
      </c>
      <c r="G178" s="2">
        <v>19</v>
      </c>
      <c r="H178" s="2">
        <v>34</v>
      </c>
      <c r="I178" s="2">
        <v>35</v>
      </c>
      <c r="J178" s="2">
        <v>48</v>
      </c>
      <c r="K178" s="2">
        <v>28</v>
      </c>
      <c r="L178" s="2">
        <v>1090</v>
      </c>
      <c r="M178" s="2">
        <v>0</v>
      </c>
      <c r="N178" s="2">
        <v>0</v>
      </c>
      <c r="O178" s="2">
        <v>1</v>
      </c>
      <c r="P178" s="2">
        <v>0</v>
      </c>
      <c r="Q178" s="2">
        <v>0</v>
      </c>
      <c r="R178" s="2">
        <v>3</v>
      </c>
      <c r="S178" s="2">
        <v>1</v>
      </c>
      <c r="T178" s="2">
        <v>0</v>
      </c>
      <c r="U178" s="2">
        <v>2</v>
      </c>
      <c r="V178" s="2">
        <v>0</v>
      </c>
      <c r="W178" s="2">
        <v>0</v>
      </c>
      <c r="X178" s="2">
        <v>20</v>
      </c>
      <c r="Y178">
        <f t="shared" si="4"/>
        <v>4</v>
      </c>
      <c r="Z178">
        <f t="shared" si="5"/>
        <v>5.75</v>
      </c>
    </row>
    <row r="179" spans="1:26" x14ac:dyDescent="0.25">
      <c r="A179" s="2" t="s">
        <v>567</v>
      </c>
      <c r="B179" s="8">
        <v>37</v>
      </c>
      <c r="C179" s="2" t="s">
        <v>26</v>
      </c>
      <c r="D179" s="8" t="s">
        <v>27</v>
      </c>
      <c r="E179" s="2">
        <v>15</v>
      </c>
      <c r="F179" s="2">
        <v>20</v>
      </c>
      <c r="G179" s="2"/>
      <c r="H179" s="2">
        <v>55</v>
      </c>
      <c r="I179" s="2"/>
      <c r="J179" s="2">
        <v>56</v>
      </c>
      <c r="K179" s="2">
        <v>30</v>
      </c>
      <c r="L179" s="2">
        <v>1321</v>
      </c>
      <c r="M179" s="2"/>
      <c r="N179" s="2"/>
      <c r="O179" s="2"/>
      <c r="P179" s="2"/>
      <c r="Q179" s="2"/>
      <c r="R179" s="2"/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2</v>
      </c>
      <c r="Y179">
        <f t="shared" si="4"/>
        <v>1</v>
      </c>
      <c r="Z179">
        <f t="shared" si="5"/>
        <v>2</v>
      </c>
    </row>
    <row r="180" spans="1:26" x14ac:dyDescent="0.25">
      <c r="A180" s="2" t="s">
        <v>568</v>
      </c>
      <c r="B180" s="8">
        <v>38</v>
      </c>
      <c r="C180" s="2" t="s">
        <v>26</v>
      </c>
      <c r="D180" s="8" t="s">
        <v>27</v>
      </c>
      <c r="E180" s="2">
        <v>13</v>
      </c>
      <c r="F180" s="2">
        <v>28</v>
      </c>
      <c r="G180" s="2">
        <v>20</v>
      </c>
      <c r="H180" s="2">
        <v>30</v>
      </c>
      <c r="I180" s="2">
        <v>53</v>
      </c>
      <c r="J180" s="2">
        <v>54</v>
      </c>
      <c r="K180" s="2">
        <v>35</v>
      </c>
      <c r="L180" s="2" t="s">
        <v>21</v>
      </c>
      <c r="M180" s="2">
        <v>0</v>
      </c>
      <c r="N180" s="2">
        <v>1</v>
      </c>
      <c r="O180" s="2">
        <v>1</v>
      </c>
      <c r="P180" s="2">
        <v>1</v>
      </c>
      <c r="Q180" s="2">
        <v>0</v>
      </c>
      <c r="R180" s="2">
        <v>14</v>
      </c>
      <c r="S180" s="2">
        <v>0</v>
      </c>
      <c r="T180" s="2">
        <v>1</v>
      </c>
      <c r="U180" s="2">
        <v>2</v>
      </c>
      <c r="V180" s="2">
        <v>0</v>
      </c>
      <c r="W180" s="2">
        <v>0</v>
      </c>
      <c r="X180" s="2">
        <v>19</v>
      </c>
      <c r="Y180">
        <f t="shared" si="4"/>
        <v>6</v>
      </c>
      <c r="Z180">
        <f t="shared" si="5"/>
        <v>5.5</v>
      </c>
    </row>
    <row r="181" spans="1:26" x14ac:dyDescent="0.25">
      <c r="A181" s="2" t="s">
        <v>569</v>
      </c>
      <c r="B181" s="8">
        <v>39</v>
      </c>
      <c r="C181" s="2" t="s">
        <v>26</v>
      </c>
      <c r="D181" s="8" t="s">
        <v>27</v>
      </c>
      <c r="E181" s="2">
        <v>17</v>
      </c>
      <c r="F181" s="2">
        <v>25</v>
      </c>
      <c r="G181" s="2"/>
      <c r="H181" s="2"/>
      <c r="I181" s="2"/>
      <c r="J181" s="2"/>
      <c r="K181" s="2">
        <v>30</v>
      </c>
      <c r="L181" s="2">
        <v>1931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>
        <f t="shared" si="4"/>
        <v>0</v>
      </c>
      <c r="Z181" t="e">
        <f t="shared" si="5"/>
        <v>#DIV/0!</v>
      </c>
    </row>
    <row r="182" spans="1:26" x14ac:dyDescent="0.25">
      <c r="A182" s="2" t="s">
        <v>570</v>
      </c>
      <c r="B182" s="8">
        <v>40</v>
      </c>
      <c r="C182" s="2" t="s">
        <v>26</v>
      </c>
      <c r="D182" s="8" t="s">
        <v>27</v>
      </c>
      <c r="E182" s="2">
        <v>14</v>
      </c>
      <c r="F182" s="2">
        <v>30</v>
      </c>
      <c r="G182" s="2">
        <v>21</v>
      </c>
      <c r="H182" s="2"/>
      <c r="I182" s="2">
        <v>45</v>
      </c>
      <c r="J182" s="2"/>
      <c r="K182" s="2">
        <v>31</v>
      </c>
      <c r="L182" s="2">
        <v>640</v>
      </c>
      <c r="M182" s="2">
        <v>0</v>
      </c>
      <c r="N182" s="2">
        <v>0</v>
      </c>
      <c r="O182" s="2">
        <v>1</v>
      </c>
      <c r="P182" s="2">
        <v>0</v>
      </c>
      <c r="Q182" s="2">
        <v>0</v>
      </c>
      <c r="R182" s="2">
        <v>1</v>
      </c>
      <c r="S182" s="2"/>
      <c r="T182" s="2"/>
      <c r="U182" s="2"/>
      <c r="V182" s="2"/>
      <c r="W182" s="2"/>
      <c r="X182" s="2"/>
      <c r="Y182">
        <f t="shared" si="4"/>
        <v>1</v>
      </c>
      <c r="Z182">
        <f t="shared" si="5"/>
        <v>1</v>
      </c>
    </row>
    <row r="183" spans="1:26" x14ac:dyDescent="0.25">
      <c r="A183" s="2" t="s">
        <v>612</v>
      </c>
      <c r="B183" s="8">
        <v>21</v>
      </c>
      <c r="C183" s="2" t="s">
        <v>23</v>
      </c>
      <c r="D183" s="8" t="s">
        <v>27</v>
      </c>
      <c r="E183" s="2">
        <v>19</v>
      </c>
      <c r="F183" s="2" t="s">
        <v>21</v>
      </c>
      <c r="G183" s="2">
        <v>27</v>
      </c>
      <c r="H183" s="2"/>
      <c r="I183" s="2">
        <v>53</v>
      </c>
      <c r="J183" s="2"/>
      <c r="K183" s="2">
        <v>31</v>
      </c>
      <c r="L183" s="2" t="s">
        <v>21</v>
      </c>
      <c r="M183" s="2">
        <v>0</v>
      </c>
      <c r="N183" s="2">
        <v>0</v>
      </c>
      <c r="O183" s="2">
        <v>1</v>
      </c>
      <c r="P183" s="2">
        <v>0</v>
      </c>
      <c r="Q183" s="2">
        <v>0</v>
      </c>
      <c r="R183" s="2">
        <v>7</v>
      </c>
      <c r="S183" s="2"/>
      <c r="T183" s="2"/>
      <c r="U183" s="2"/>
      <c r="V183" s="2"/>
      <c r="W183" s="2"/>
      <c r="X183" s="2"/>
      <c r="Y183">
        <f t="shared" si="4"/>
        <v>1</v>
      </c>
      <c r="Z183">
        <f t="shared" si="5"/>
        <v>7</v>
      </c>
    </row>
    <row r="184" spans="1:26" x14ac:dyDescent="0.25">
      <c r="A184" s="2" t="s">
        <v>615</v>
      </c>
      <c r="B184" s="8">
        <v>22</v>
      </c>
      <c r="C184" s="2" t="s">
        <v>23</v>
      </c>
      <c r="D184" s="8" t="s">
        <v>27</v>
      </c>
      <c r="E184" s="2">
        <v>22.5</v>
      </c>
      <c r="F184" s="2">
        <v>29</v>
      </c>
      <c r="G184" s="2">
        <v>39</v>
      </c>
      <c r="H184" s="2">
        <v>157</v>
      </c>
      <c r="I184" s="2">
        <v>63</v>
      </c>
      <c r="J184" s="2">
        <v>78</v>
      </c>
      <c r="K184" s="2">
        <v>35</v>
      </c>
      <c r="L184" s="2">
        <v>4167</v>
      </c>
      <c r="M184" s="2">
        <v>0</v>
      </c>
      <c r="N184" s="2">
        <v>0</v>
      </c>
      <c r="O184" s="2">
        <v>1</v>
      </c>
      <c r="P184" s="2">
        <v>0</v>
      </c>
      <c r="Q184" s="2">
        <v>0</v>
      </c>
      <c r="R184" s="2">
        <v>4</v>
      </c>
      <c r="S184" s="2">
        <v>0</v>
      </c>
      <c r="T184" s="2">
        <v>2</v>
      </c>
      <c r="U184" s="2">
        <v>2</v>
      </c>
      <c r="V184" s="2">
        <v>0</v>
      </c>
      <c r="W184" s="2">
        <v>0</v>
      </c>
      <c r="X184" s="2">
        <v>27</v>
      </c>
      <c r="Y184">
        <f t="shared" si="4"/>
        <v>5</v>
      </c>
      <c r="Z184">
        <f t="shared" si="5"/>
        <v>6.2</v>
      </c>
    </row>
    <row r="185" spans="1:26" x14ac:dyDescent="0.25">
      <c r="A185" s="2" t="s">
        <v>616</v>
      </c>
      <c r="B185" s="8">
        <v>23</v>
      </c>
      <c r="C185" s="2" t="s">
        <v>23</v>
      </c>
      <c r="D185" s="8" t="s">
        <v>27</v>
      </c>
      <c r="E185" s="2">
        <v>24</v>
      </c>
      <c r="F185" s="2">
        <v>28</v>
      </c>
      <c r="G185" s="2">
        <v>55</v>
      </c>
      <c r="H185" s="2">
        <v>108</v>
      </c>
      <c r="I185" s="2">
        <v>52</v>
      </c>
      <c r="J185" s="2">
        <v>54</v>
      </c>
      <c r="K185" s="2">
        <v>32</v>
      </c>
      <c r="L185" s="2">
        <v>3727</v>
      </c>
      <c r="M185" s="2">
        <v>1</v>
      </c>
      <c r="N185" s="2">
        <v>0</v>
      </c>
      <c r="O185" s="2">
        <v>2</v>
      </c>
      <c r="P185" s="2">
        <v>0</v>
      </c>
      <c r="Q185" s="2">
        <v>0</v>
      </c>
      <c r="R185" s="2">
        <v>18</v>
      </c>
      <c r="S185" s="2">
        <v>0</v>
      </c>
      <c r="T185" s="2">
        <v>3</v>
      </c>
      <c r="U185" s="2">
        <v>3</v>
      </c>
      <c r="V185" s="2">
        <v>0</v>
      </c>
      <c r="W185" s="2">
        <v>0</v>
      </c>
      <c r="X185" s="2">
        <v>26</v>
      </c>
      <c r="Y185">
        <f t="shared" si="4"/>
        <v>9</v>
      </c>
      <c r="Z185">
        <f t="shared" si="5"/>
        <v>4.8888888888888893</v>
      </c>
    </row>
    <row r="186" spans="1:26" x14ac:dyDescent="0.25">
      <c r="A186" s="2" t="s">
        <v>617</v>
      </c>
      <c r="B186" s="8">
        <v>24</v>
      </c>
      <c r="C186" s="2" t="s">
        <v>23</v>
      </c>
      <c r="D186" s="8" t="s">
        <v>27</v>
      </c>
      <c r="E186" s="2">
        <v>21.5</v>
      </c>
      <c r="F186" s="2">
        <v>18</v>
      </c>
      <c r="G186" s="2"/>
      <c r="H186" s="2">
        <v>76</v>
      </c>
      <c r="I186" s="2"/>
      <c r="J186" s="2">
        <v>62</v>
      </c>
      <c r="K186" s="2">
        <v>30</v>
      </c>
      <c r="L186" s="2" t="s">
        <v>21</v>
      </c>
      <c r="M186" s="2"/>
      <c r="N186" s="2"/>
      <c r="O186" s="2"/>
      <c r="P186" s="2"/>
      <c r="Q186" s="2"/>
      <c r="R186" s="2"/>
      <c r="S186" s="2">
        <v>2</v>
      </c>
      <c r="T186" s="2">
        <v>0</v>
      </c>
      <c r="U186" s="2">
        <v>0</v>
      </c>
      <c r="V186" s="2">
        <v>0</v>
      </c>
      <c r="W186" s="2">
        <v>0</v>
      </c>
      <c r="X186" s="2">
        <v>3</v>
      </c>
      <c r="Y186">
        <f t="shared" si="4"/>
        <v>2</v>
      </c>
      <c r="Z186">
        <f t="shared" si="5"/>
        <v>1.5</v>
      </c>
    </row>
    <row r="187" spans="1:26" x14ac:dyDescent="0.25">
      <c r="A187" s="2" t="s">
        <v>618</v>
      </c>
      <c r="B187" s="8">
        <v>25</v>
      </c>
      <c r="C187" s="2" t="s">
        <v>23</v>
      </c>
      <c r="D187" s="8" t="s">
        <v>27</v>
      </c>
      <c r="E187" s="2">
        <v>23</v>
      </c>
      <c r="F187" s="2">
        <v>26.5</v>
      </c>
      <c r="G187" s="2">
        <v>49</v>
      </c>
      <c r="H187" s="2">
        <v>117</v>
      </c>
      <c r="I187" s="2">
        <v>56</v>
      </c>
      <c r="J187" s="2">
        <v>63</v>
      </c>
      <c r="K187" s="2">
        <v>30</v>
      </c>
      <c r="L187" s="2">
        <v>6099</v>
      </c>
      <c r="M187" s="2">
        <v>3</v>
      </c>
      <c r="N187" s="2">
        <v>0</v>
      </c>
      <c r="O187" s="2">
        <v>2</v>
      </c>
      <c r="P187" s="2">
        <v>0</v>
      </c>
      <c r="Q187" s="2">
        <v>0</v>
      </c>
      <c r="R187" s="2">
        <v>15</v>
      </c>
      <c r="S187" s="2">
        <v>1</v>
      </c>
      <c r="T187" s="2">
        <v>0</v>
      </c>
      <c r="U187" s="2">
        <v>0</v>
      </c>
      <c r="V187" s="2">
        <v>3</v>
      </c>
      <c r="W187" s="2">
        <v>0</v>
      </c>
      <c r="X187" s="2">
        <v>45</v>
      </c>
      <c r="Y187">
        <f t="shared" si="4"/>
        <v>9</v>
      </c>
      <c r="Z187">
        <f t="shared" si="5"/>
        <v>6.666666666666667</v>
      </c>
    </row>
    <row r="188" spans="1:26" x14ac:dyDescent="0.25">
      <c r="A188" s="2" t="s">
        <v>619</v>
      </c>
      <c r="B188" s="8">
        <v>26</v>
      </c>
      <c r="C188" s="2" t="s">
        <v>23</v>
      </c>
      <c r="D188" s="8" t="s">
        <v>27</v>
      </c>
      <c r="E188" s="2">
        <v>23</v>
      </c>
      <c r="F188" s="2" t="s">
        <v>21</v>
      </c>
      <c r="G188" s="2"/>
      <c r="H188" s="2"/>
      <c r="I188" s="2"/>
      <c r="J188" s="2"/>
      <c r="K188" s="2">
        <v>38</v>
      </c>
      <c r="L188" s="2" t="s">
        <v>21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>
        <f t="shared" si="4"/>
        <v>0</v>
      </c>
      <c r="Z188" t="e">
        <f t="shared" si="5"/>
        <v>#DIV/0!</v>
      </c>
    </row>
    <row r="189" spans="1:26" x14ac:dyDescent="0.25">
      <c r="A189" s="2" t="s">
        <v>621</v>
      </c>
      <c r="B189" s="8">
        <v>27</v>
      </c>
      <c r="C189" s="2" t="s">
        <v>23</v>
      </c>
      <c r="D189" s="8" t="s">
        <v>27</v>
      </c>
      <c r="E189" s="2">
        <v>18</v>
      </c>
      <c r="F189" s="2" t="s">
        <v>21</v>
      </c>
      <c r="G189" s="2"/>
      <c r="H189" s="2"/>
      <c r="I189" s="2"/>
      <c r="J189" s="2"/>
      <c r="K189" s="2">
        <v>32</v>
      </c>
      <c r="L189" s="2" t="s">
        <v>21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>
        <f t="shared" si="4"/>
        <v>0</v>
      </c>
      <c r="Z189" t="e">
        <f t="shared" si="5"/>
        <v>#DIV/0!</v>
      </c>
    </row>
    <row r="190" spans="1:26" x14ac:dyDescent="0.25">
      <c r="A190" s="2" t="s">
        <v>624</v>
      </c>
      <c r="B190" s="8">
        <v>28</v>
      </c>
      <c r="C190" s="2" t="s">
        <v>23</v>
      </c>
      <c r="D190" s="8" t="s">
        <v>27</v>
      </c>
      <c r="E190" s="2">
        <v>16</v>
      </c>
      <c r="F190" s="2">
        <v>20</v>
      </c>
      <c r="G190" s="2"/>
      <c r="H190" s="2">
        <v>63</v>
      </c>
      <c r="I190" s="2"/>
      <c r="J190" s="2">
        <v>82</v>
      </c>
      <c r="K190" s="2">
        <v>30</v>
      </c>
      <c r="L190" s="2">
        <v>1982</v>
      </c>
      <c r="M190" s="2"/>
      <c r="N190" s="2"/>
      <c r="O190" s="2"/>
      <c r="P190" s="2"/>
      <c r="Q190" s="2"/>
      <c r="R190" s="2"/>
      <c r="S190" s="2">
        <v>1</v>
      </c>
      <c r="T190" s="2">
        <v>0</v>
      </c>
      <c r="U190" s="2">
        <v>0</v>
      </c>
      <c r="V190" s="2">
        <v>0</v>
      </c>
      <c r="W190" s="2">
        <v>0</v>
      </c>
      <c r="X190" s="2">
        <v>4</v>
      </c>
      <c r="Y190">
        <f t="shared" si="4"/>
        <v>1</v>
      </c>
      <c r="Z190">
        <f t="shared" si="5"/>
        <v>4</v>
      </c>
    </row>
    <row r="191" spans="1:26" x14ac:dyDescent="0.25">
      <c r="A191" s="2" t="s">
        <v>625</v>
      </c>
      <c r="B191" s="8">
        <v>29</v>
      </c>
      <c r="C191" s="2" t="s">
        <v>23</v>
      </c>
      <c r="D191" s="8" t="s">
        <v>27</v>
      </c>
      <c r="E191" s="2">
        <v>31</v>
      </c>
      <c r="F191" s="2">
        <v>36</v>
      </c>
      <c r="G191" s="2">
        <v>12</v>
      </c>
      <c r="H191" s="2"/>
      <c r="I191" s="2">
        <v>47</v>
      </c>
      <c r="J191" s="2"/>
      <c r="K191" s="2">
        <v>40</v>
      </c>
      <c r="L191" s="2" t="s">
        <v>21</v>
      </c>
      <c r="M191" s="2">
        <v>0</v>
      </c>
      <c r="N191" s="2">
        <v>1</v>
      </c>
      <c r="O191" s="2">
        <v>1</v>
      </c>
      <c r="P191" s="2">
        <v>0</v>
      </c>
      <c r="Q191" s="2">
        <v>0</v>
      </c>
      <c r="R191" s="2">
        <v>2</v>
      </c>
      <c r="S191" s="2"/>
      <c r="T191" s="2"/>
      <c r="U191" s="2"/>
      <c r="V191" s="2"/>
      <c r="W191" s="2"/>
      <c r="X191" s="2"/>
      <c r="Y191">
        <f t="shared" si="4"/>
        <v>2</v>
      </c>
      <c r="Z191">
        <f t="shared" si="5"/>
        <v>1</v>
      </c>
    </row>
    <row r="192" spans="1:26" x14ac:dyDescent="0.25">
      <c r="A192" s="2" t="s">
        <v>626</v>
      </c>
      <c r="B192" s="8">
        <v>30</v>
      </c>
      <c r="C192" s="2" t="s">
        <v>23</v>
      </c>
      <c r="D192" s="8" t="s">
        <v>27</v>
      </c>
      <c r="E192" s="2">
        <v>19</v>
      </c>
      <c r="F192" s="2">
        <v>20</v>
      </c>
      <c r="G192" s="2">
        <v>34</v>
      </c>
      <c r="H192" s="2">
        <v>48</v>
      </c>
      <c r="I192" s="2">
        <v>49</v>
      </c>
      <c r="J192" s="2">
        <v>55</v>
      </c>
      <c r="K192" s="2">
        <v>27</v>
      </c>
      <c r="L192" s="2">
        <v>1297</v>
      </c>
      <c r="M192" s="2">
        <v>0</v>
      </c>
      <c r="N192" s="2">
        <v>0</v>
      </c>
      <c r="O192" s="2">
        <v>1</v>
      </c>
      <c r="P192" s="2">
        <v>0</v>
      </c>
      <c r="Q192" s="2">
        <v>0</v>
      </c>
      <c r="R192" s="2">
        <v>4</v>
      </c>
      <c r="S192" s="2">
        <v>1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>
        <f t="shared" si="4"/>
        <v>2</v>
      </c>
      <c r="Z192">
        <f t="shared" si="5"/>
        <v>2</v>
      </c>
    </row>
    <row r="193" spans="1:26" x14ac:dyDescent="0.25">
      <c r="A193" s="2" t="s">
        <v>627</v>
      </c>
      <c r="B193" s="8">
        <v>31</v>
      </c>
      <c r="C193" s="2" t="s">
        <v>23</v>
      </c>
      <c r="D193" s="8" t="s">
        <v>27</v>
      </c>
      <c r="E193" s="2">
        <v>26</v>
      </c>
      <c r="F193" s="2" t="s">
        <v>21</v>
      </c>
      <c r="G193" s="2"/>
      <c r="H193" s="2"/>
      <c r="I193" s="2"/>
      <c r="J193" s="2"/>
      <c r="K193" s="2">
        <v>35</v>
      </c>
      <c r="L193" s="2" t="s">
        <v>21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>
        <f t="shared" si="4"/>
        <v>0</v>
      </c>
      <c r="Z193" t="e">
        <f t="shared" si="5"/>
        <v>#DIV/0!</v>
      </c>
    </row>
    <row r="194" spans="1:26" x14ac:dyDescent="0.25">
      <c r="A194" s="2" t="s">
        <v>630</v>
      </c>
      <c r="B194" s="8">
        <v>32</v>
      </c>
      <c r="C194" s="2" t="s">
        <v>23</v>
      </c>
      <c r="D194" s="8" t="s">
        <v>27</v>
      </c>
      <c r="E194" s="2">
        <v>21</v>
      </c>
      <c r="F194" s="2">
        <v>27</v>
      </c>
      <c r="G194" s="2">
        <v>68</v>
      </c>
      <c r="H194" s="2"/>
      <c r="I194" s="2">
        <v>60</v>
      </c>
      <c r="J194" s="2"/>
      <c r="K194" s="2">
        <v>31</v>
      </c>
      <c r="L194" s="2">
        <v>13765</v>
      </c>
      <c r="M194" s="2">
        <v>0</v>
      </c>
      <c r="N194" s="2">
        <v>3</v>
      </c>
      <c r="O194" s="2">
        <v>2</v>
      </c>
      <c r="P194" s="2">
        <v>0</v>
      </c>
      <c r="Q194" s="2">
        <v>0</v>
      </c>
      <c r="R194" s="2">
        <v>13</v>
      </c>
      <c r="S194" s="2"/>
      <c r="T194" s="2"/>
      <c r="U194" s="2"/>
      <c r="V194" s="2"/>
      <c r="W194" s="2"/>
      <c r="X194" s="2"/>
      <c r="Y194">
        <f t="shared" si="4"/>
        <v>5</v>
      </c>
      <c r="Z194">
        <f t="shared" si="5"/>
        <v>2.6</v>
      </c>
    </row>
    <row r="195" spans="1:26" x14ac:dyDescent="0.25">
      <c r="A195" s="2" t="s">
        <v>631</v>
      </c>
      <c r="B195" s="8">
        <v>33</v>
      </c>
      <c r="C195" s="2" t="s">
        <v>23</v>
      </c>
      <c r="D195" s="8" t="s">
        <v>27</v>
      </c>
      <c r="E195" s="2">
        <v>17.5</v>
      </c>
      <c r="F195" s="2" t="s">
        <v>21</v>
      </c>
      <c r="G195" s="2">
        <v>44</v>
      </c>
      <c r="H195" s="2"/>
      <c r="I195" s="2">
        <v>56</v>
      </c>
      <c r="J195" s="2"/>
      <c r="K195" s="2">
        <v>30</v>
      </c>
      <c r="L195" s="2" t="s">
        <v>21</v>
      </c>
      <c r="M195" s="2">
        <v>0</v>
      </c>
      <c r="N195" s="2">
        <v>1</v>
      </c>
      <c r="O195" s="2">
        <v>0</v>
      </c>
      <c r="P195" s="2">
        <v>0</v>
      </c>
      <c r="Q195" s="2">
        <v>0</v>
      </c>
      <c r="R195" s="2">
        <v>2</v>
      </c>
      <c r="S195" s="2"/>
      <c r="T195" s="2"/>
      <c r="U195" s="2"/>
      <c r="V195" s="2"/>
      <c r="W195" s="2"/>
      <c r="X195" s="2"/>
      <c r="Y195">
        <f t="shared" ref="Y195:Y258" si="6">SUM(M195:Q195,S195:W195)</f>
        <v>1</v>
      </c>
      <c r="Z195">
        <f t="shared" ref="Z195:Z258" si="7">(R195+X195) / (SUM(M195:Q195) + (SUM(S195:W195)))</f>
        <v>2</v>
      </c>
    </row>
    <row r="196" spans="1:26" x14ac:dyDescent="0.25">
      <c r="A196" s="2" t="s">
        <v>634</v>
      </c>
      <c r="B196" s="8">
        <v>34</v>
      </c>
      <c r="C196" s="2" t="s">
        <v>23</v>
      </c>
      <c r="D196" s="8" t="s">
        <v>27</v>
      </c>
      <c r="E196" s="2">
        <v>20</v>
      </c>
      <c r="F196" s="2" t="s">
        <v>21</v>
      </c>
      <c r="G196" s="2">
        <v>29</v>
      </c>
      <c r="H196" s="2"/>
      <c r="I196" s="2">
        <v>48</v>
      </c>
      <c r="J196" s="2"/>
      <c r="K196" s="2">
        <v>31</v>
      </c>
      <c r="L196" s="2" t="s">
        <v>21</v>
      </c>
      <c r="M196" s="2">
        <v>0</v>
      </c>
      <c r="N196" s="2">
        <v>3</v>
      </c>
      <c r="O196" s="2">
        <v>1</v>
      </c>
      <c r="P196" s="2">
        <v>0</v>
      </c>
      <c r="Q196" s="2">
        <v>0</v>
      </c>
      <c r="R196" s="2">
        <v>4</v>
      </c>
      <c r="S196" s="2"/>
      <c r="T196" s="2"/>
      <c r="U196" s="2"/>
      <c r="V196" s="2"/>
      <c r="W196" s="2"/>
      <c r="X196" s="2"/>
      <c r="Y196">
        <f t="shared" si="6"/>
        <v>4</v>
      </c>
      <c r="Z196">
        <f t="shared" si="7"/>
        <v>1</v>
      </c>
    </row>
    <row r="197" spans="1:26" x14ac:dyDescent="0.25">
      <c r="A197" s="2" t="s">
        <v>637</v>
      </c>
      <c r="B197" s="8">
        <v>35</v>
      </c>
      <c r="C197" s="2" t="s">
        <v>23</v>
      </c>
      <c r="D197" s="8" t="s">
        <v>27</v>
      </c>
      <c r="E197" s="2">
        <v>22</v>
      </c>
      <c r="F197" s="2">
        <v>30</v>
      </c>
      <c r="G197" s="2">
        <v>23</v>
      </c>
      <c r="H197" s="2">
        <v>93</v>
      </c>
      <c r="I197" s="2">
        <v>67</v>
      </c>
      <c r="J197" s="2">
        <v>70</v>
      </c>
      <c r="K197" s="2">
        <v>30</v>
      </c>
      <c r="L197" s="2">
        <v>8852</v>
      </c>
      <c r="M197" s="2">
        <v>0</v>
      </c>
      <c r="N197" s="2">
        <v>1</v>
      </c>
      <c r="O197" s="2">
        <v>2</v>
      </c>
      <c r="P197" s="2">
        <v>0</v>
      </c>
      <c r="Q197" s="2">
        <v>0</v>
      </c>
      <c r="R197" s="2">
        <v>6</v>
      </c>
      <c r="S197" s="2">
        <v>3</v>
      </c>
      <c r="T197" s="2">
        <v>1</v>
      </c>
      <c r="U197" s="2">
        <v>0</v>
      </c>
      <c r="V197" s="2">
        <v>0</v>
      </c>
      <c r="W197" s="2">
        <v>1</v>
      </c>
      <c r="X197" s="2">
        <v>23</v>
      </c>
      <c r="Y197">
        <f t="shared" si="6"/>
        <v>8</v>
      </c>
      <c r="Z197">
        <f t="shared" si="7"/>
        <v>3.625</v>
      </c>
    </row>
    <row r="198" spans="1:26" x14ac:dyDescent="0.25">
      <c r="A198" s="2" t="s">
        <v>791</v>
      </c>
      <c r="B198" s="8">
        <v>36</v>
      </c>
      <c r="C198" s="15" t="s">
        <v>23</v>
      </c>
      <c r="D198" s="8" t="s">
        <v>27</v>
      </c>
      <c r="E198" s="2">
        <v>29.5</v>
      </c>
      <c r="F198" s="2">
        <v>54</v>
      </c>
      <c r="G198" s="2"/>
      <c r="H198" s="2"/>
      <c r="I198" s="2"/>
      <c r="J198" s="2"/>
      <c r="K198" s="2">
        <v>27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>
        <f t="shared" si="6"/>
        <v>0</v>
      </c>
      <c r="Z198" t="e">
        <f t="shared" si="7"/>
        <v>#DIV/0!</v>
      </c>
    </row>
    <row r="199" spans="1:26" x14ac:dyDescent="0.25">
      <c r="A199" s="2" t="s">
        <v>638</v>
      </c>
      <c r="B199" s="8">
        <v>37</v>
      </c>
      <c r="C199" s="2" t="s">
        <v>23</v>
      </c>
      <c r="D199" s="8" t="s">
        <v>27</v>
      </c>
      <c r="E199" s="2">
        <v>21</v>
      </c>
      <c r="F199" s="2">
        <v>29</v>
      </c>
      <c r="G199" s="2"/>
      <c r="H199" s="2">
        <v>123</v>
      </c>
      <c r="I199" s="2"/>
      <c r="J199" s="2">
        <v>63</v>
      </c>
      <c r="K199" s="2">
        <v>30</v>
      </c>
      <c r="L199" s="2">
        <v>5479</v>
      </c>
      <c r="M199" s="2"/>
      <c r="N199" s="2"/>
      <c r="O199" s="2"/>
      <c r="P199" s="2"/>
      <c r="Q199" s="2"/>
      <c r="R199" s="2"/>
      <c r="S199" s="2">
        <v>2</v>
      </c>
      <c r="T199" s="2">
        <v>1</v>
      </c>
      <c r="U199" s="2">
        <v>0</v>
      </c>
      <c r="V199" s="2">
        <v>0</v>
      </c>
      <c r="W199" s="2">
        <v>0</v>
      </c>
      <c r="X199" s="2">
        <v>49</v>
      </c>
      <c r="Y199">
        <f t="shared" si="6"/>
        <v>3</v>
      </c>
      <c r="Z199">
        <f t="shared" si="7"/>
        <v>16.333333333333332</v>
      </c>
    </row>
    <row r="200" spans="1:26" x14ac:dyDescent="0.25">
      <c r="A200" s="2" t="s">
        <v>639</v>
      </c>
      <c r="B200" s="8">
        <v>38</v>
      </c>
      <c r="C200" s="2" t="s">
        <v>23</v>
      </c>
      <c r="D200" s="8" t="s">
        <v>27</v>
      </c>
      <c r="E200" s="2">
        <v>22</v>
      </c>
      <c r="F200" s="2">
        <v>25</v>
      </c>
      <c r="G200" s="2">
        <v>45</v>
      </c>
      <c r="H200" s="2">
        <v>116</v>
      </c>
      <c r="I200" s="2">
        <v>63</v>
      </c>
      <c r="J200" s="2">
        <v>57</v>
      </c>
      <c r="K200" s="2">
        <v>32</v>
      </c>
      <c r="L200" s="2" t="s">
        <v>21</v>
      </c>
      <c r="M200" s="2">
        <v>0</v>
      </c>
      <c r="N200" s="2">
        <v>0</v>
      </c>
      <c r="O200" s="2">
        <v>2</v>
      </c>
      <c r="P200" s="2">
        <v>0</v>
      </c>
      <c r="Q200" s="2">
        <v>0</v>
      </c>
      <c r="R200" s="2">
        <v>4</v>
      </c>
      <c r="S200" s="2">
        <v>0</v>
      </c>
      <c r="T200" s="2">
        <v>2</v>
      </c>
      <c r="U200" s="2">
        <v>0</v>
      </c>
      <c r="V200" s="2">
        <v>0</v>
      </c>
      <c r="W200" s="2">
        <v>0</v>
      </c>
      <c r="X200" s="2">
        <v>19</v>
      </c>
      <c r="Y200">
        <f t="shared" si="6"/>
        <v>4</v>
      </c>
      <c r="Z200">
        <f t="shared" si="7"/>
        <v>5.75</v>
      </c>
    </row>
    <row r="201" spans="1:26" x14ac:dyDescent="0.25">
      <c r="A201" s="2" t="s">
        <v>640</v>
      </c>
      <c r="B201" s="8">
        <v>39</v>
      </c>
      <c r="C201" s="2" t="s">
        <v>23</v>
      </c>
      <c r="D201" s="8" t="s">
        <v>27</v>
      </c>
      <c r="E201" s="2">
        <v>20</v>
      </c>
      <c r="F201" s="2">
        <v>28</v>
      </c>
      <c r="G201" s="2">
        <v>52</v>
      </c>
      <c r="H201" s="2">
        <v>125</v>
      </c>
      <c r="I201" s="2">
        <v>66</v>
      </c>
      <c r="J201" s="2">
        <v>70</v>
      </c>
      <c r="K201" s="2">
        <v>32</v>
      </c>
      <c r="L201" s="2">
        <v>1614</v>
      </c>
      <c r="M201" s="2">
        <v>2</v>
      </c>
      <c r="N201" s="2">
        <v>0</v>
      </c>
      <c r="O201" s="2">
        <v>5</v>
      </c>
      <c r="P201" s="2">
        <v>0</v>
      </c>
      <c r="Q201" s="2">
        <v>0</v>
      </c>
      <c r="R201" s="2">
        <v>33</v>
      </c>
      <c r="S201" s="2">
        <v>1</v>
      </c>
      <c r="T201" s="2">
        <v>1</v>
      </c>
      <c r="U201" s="2">
        <v>0</v>
      </c>
      <c r="V201" s="2">
        <v>0</v>
      </c>
      <c r="W201" s="2">
        <v>0</v>
      </c>
      <c r="X201" s="2">
        <v>25</v>
      </c>
      <c r="Y201">
        <f t="shared" si="6"/>
        <v>9</v>
      </c>
      <c r="Z201">
        <f t="shared" si="7"/>
        <v>6.4444444444444446</v>
      </c>
    </row>
    <row r="202" spans="1:26" x14ac:dyDescent="0.25">
      <c r="A202" s="2" t="s">
        <v>641</v>
      </c>
      <c r="B202" s="8">
        <v>40</v>
      </c>
      <c r="C202" s="2" t="s">
        <v>23</v>
      </c>
      <c r="D202" s="8" t="s">
        <v>27</v>
      </c>
      <c r="E202" s="2">
        <v>22</v>
      </c>
      <c r="F202" s="2">
        <v>26</v>
      </c>
      <c r="G202" s="2">
        <v>40</v>
      </c>
      <c r="H202" s="2">
        <v>59</v>
      </c>
      <c r="I202" s="2">
        <v>74</v>
      </c>
      <c r="J202" s="2">
        <v>80</v>
      </c>
      <c r="K202" s="2">
        <v>30</v>
      </c>
      <c r="L202" s="2">
        <v>699</v>
      </c>
      <c r="M202" s="2">
        <v>1</v>
      </c>
      <c r="N202" s="2">
        <v>1</v>
      </c>
      <c r="O202" s="2">
        <v>1</v>
      </c>
      <c r="P202" s="2">
        <v>0</v>
      </c>
      <c r="Q202" s="2">
        <v>0</v>
      </c>
      <c r="R202" s="2">
        <v>8</v>
      </c>
      <c r="S202" s="2">
        <v>1</v>
      </c>
      <c r="T202" s="2">
        <v>1</v>
      </c>
      <c r="U202" s="2">
        <v>0</v>
      </c>
      <c r="V202" s="2">
        <v>0</v>
      </c>
      <c r="W202" s="2">
        <v>0</v>
      </c>
      <c r="X202" s="2">
        <v>2</v>
      </c>
      <c r="Y202">
        <f t="shared" si="6"/>
        <v>5</v>
      </c>
      <c r="Z202">
        <f t="shared" si="7"/>
        <v>2</v>
      </c>
    </row>
    <row r="203" spans="1:26" x14ac:dyDescent="0.25">
      <c r="A203" s="2" t="s">
        <v>682</v>
      </c>
      <c r="B203" s="8">
        <v>21</v>
      </c>
      <c r="C203" s="2" t="s">
        <v>24</v>
      </c>
      <c r="D203" s="8" t="s">
        <v>27</v>
      </c>
      <c r="E203" s="2">
        <v>21</v>
      </c>
      <c r="F203" s="2">
        <v>28</v>
      </c>
      <c r="G203" s="2">
        <v>66</v>
      </c>
      <c r="H203" s="2">
        <v>90</v>
      </c>
      <c r="I203" s="2">
        <v>60</v>
      </c>
      <c r="J203" s="2">
        <v>84</v>
      </c>
      <c r="K203" s="2">
        <v>32</v>
      </c>
      <c r="L203" s="2" t="s">
        <v>21</v>
      </c>
      <c r="M203" s="2">
        <v>1</v>
      </c>
      <c r="N203" s="2">
        <v>0</v>
      </c>
      <c r="O203" s="2">
        <v>4</v>
      </c>
      <c r="P203" s="2">
        <v>0</v>
      </c>
      <c r="Q203" s="2">
        <v>0</v>
      </c>
      <c r="R203" s="2">
        <v>24</v>
      </c>
      <c r="S203" s="2">
        <v>0</v>
      </c>
      <c r="T203" s="2">
        <v>2</v>
      </c>
      <c r="U203" s="2">
        <v>1</v>
      </c>
      <c r="V203" s="2">
        <v>0</v>
      </c>
      <c r="W203" s="2">
        <v>0</v>
      </c>
      <c r="X203" s="2">
        <v>16</v>
      </c>
      <c r="Y203">
        <f t="shared" si="6"/>
        <v>8</v>
      </c>
      <c r="Z203">
        <f t="shared" si="7"/>
        <v>5</v>
      </c>
    </row>
    <row r="204" spans="1:26" x14ac:dyDescent="0.25">
      <c r="A204" s="2" t="s">
        <v>683</v>
      </c>
      <c r="B204" s="8">
        <v>22</v>
      </c>
      <c r="C204" s="2" t="s">
        <v>24</v>
      </c>
      <c r="D204" s="8" t="s">
        <v>27</v>
      </c>
      <c r="E204" s="2">
        <v>18</v>
      </c>
      <c r="F204" s="2">
        <v>27</v>
      </c>
      <c r="G204" s="2">
        <v>42</v>
      </c>
      <c r="H204" s="2">
        <v>45</v>
      </c>
      <c r="I204" s="2">
        <v>59</v>
      </c>
      <c r="J204" s="2">
        <v>50</v>
      </c>
      <c r="K204" s="2">
        <v>29</v>
      </c>
      <c r="L204" s="2">
        <v>3583</v>
      </c>
      <c r="M204" s="2">
        <v>0</v>
      </c>
      <c r="N204" s="2">
        <v>0</v>
      </c>
      <c r="O204" s="2">
        <v>4</v>
      </c>
      <c r="P204" s="2">
        <v>0</v>
      </c>
      <c r="Q204" s="2">
        <v>0</v>
      </c>
      <c r="R204" s="2">
        <v>12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16</v>
      </c>
      <c r="Y204">
        <f t="shared" si="6"/>
        <v>6</v>
      </c>
      <c r="Z204">
        <f t="shared" si="7"/>
        <v>4.666666666666667</v>
      </c>
    </row>
    <row r="205" spans="1:26" x14ac:dyDescent="0.25">
      <c r="A205" s="2" t="s">
        <v>684</v>
      </c>
      <c r="B205" s="8">
        <v>23</v>
      </c>
      <c r="C205" s="2" t="s">
        <v>24</v>
      </c>
      <c r="D205" s="8" t="s">
        <v>27</v>
      </c>
      <c r="E205" s="2">
        <v>19</v>
      </c>
      <c r="F205" s="2">
        <v>24</v>
      </c>
      <c r="G205" s="2">
        <v>37</v>
      </c>
      <c r="H205" s="2"/>
      <c r="I205" s="2">
        <v>55</v>
      </c>
      <c r="J205" s="2"/>
      <c r="K205" s="2">
        <v>31</v>
      </c>
      <c r="L205" s="2">
        <v>5616</v>
      </c>
      <c r="M205" s="2">
        <v>0</v>
      </c>
      <c r="N205" s="2">
        <v>1</v>
      </c>
      <c r="O205" s="2">
        <v>0</v>
      </c>
      <c r="P205" s="2">
        <v>0</v>
      </c>
      <c r="Q205" s="2">
        <v>0</v>
      </c>
      <c r="R205" s="2">
        <v>25</v>
      </c>
      <c r="S205" s="2"/>
      <c r="T205" s="2"/>
      <c r="U205" s="2"/>
      <c r="V205" s="2"/>
      <c r="W205" s="2"/>
      <c r="X205" s="2"/>
      <c r="Y205">
        <f t="shared" si="6"/>
        <v>1</v>
      </c>
      <c r="Z205">
        <f t="shared" si="7"/>
        <v>25</v>
      </c>
    </row>
    <row r="206" spans="1:26" x14ac:dyDescent="0.25">
      <c r="A206" s="2" t="s">
        <v>685</v>
      </c>
      <c r="B206" s="8">
        <v>24</v>
      </c>
      <c r="C206" s="2" t="s">
        <v>24</v>
      </c>
      <c r="D206" s="8" t="s">
        <v>27</v>
      </c>
      <c r="E206" s="2">
        <v>17.5</v>
      </c>
      <c r="F206" s="2">
        <v>24</v>
      </c>
      <c r="G206" s="2"/>
      <c r="H206" s="2"/>
      <c r="I206" s="2"/>
      <c r="J206" s="2"/>
      <c r="K206" s="2">
        <v>30</v>
      </c>
      <c r="L206" s="2">
        <v>8734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>
        <f t="shared" si="6"/>
        <v>0</v>
      </c>
      <c r="Z206" t="e">
        <f t="shared" si="7"/>
        <v>#DIV/0!</v>
      </c>
    </row>
    <row r="207" spans="1:26" x14ac:dyDescent="0.25">
      <c r="A207" s="2" t="s">
        <v>686</v>
      </c>
      <c r="B207" s="8">
        <v>25</v>
      </c>
      <c r="C207" s="2" t="s">
        <v>24</v>
      </c>
      <c r="D207" s="8" t="s">
        <v>27</v>
      </c>
      <c r="E207" s="2">
        <v>21</v>
      </c>
      <c r="F207" s="2">
        <v>25</v>
      </c>
      <c r="G207" s="2">
        <v>82</v>
      </c>
      <c r="H207" s="2">
        <v>59</v>
      </c>
      <c r="I207" s="2">
        <v>60</v>
      </c>
      <c r="J207" s="2">
        <v>57</v>
      </c>
      <c r="K207" s="2">
        <v>31</v>
      </c>
      <c r="L207" s="2">
        <v>2345</v>
      </c>
      <c r="M207" s="2">
        <v>0</v>
      </c>
      <c r="N207" s="2">
        <v>0</v>
      </c>
      <c r="O207" s="2">
        <v>3</v>
      </c>
      <c r="P207" s="2">
        <v>0</v>
      </c>
      <c r="Q207" s="2">
        <v>0</v>
      </c>
      <c r="R207" s="2">
        <v>10</v>
      </c>
      <c r="S207" s="2">
        <v>4</v>
      </c>
      <c r="T207" s="2">
        <v>0</v>
      </c>
      <c r="U207" s="2">
        <v>0</v>
      </c>
      <c r="V207" s="2">
        <v>0</v>
      </c>
      <c r="W207" s="2">
        <v>0</v>
      </c>
      <c r="X207" s="2">
        <v>35</v>
      </c>
      <c r="Y207">
        <f t="shared" si="6"/>
        <v>7</v>
      </c>
      <c r="Z207">
        <f t="shared" si="7"/>
        <v>6.4285714285714288</v>
      </c>
    </row>
    <row r="208" spans="1:26" x14ac:dyDescent="0.25">
      <c r="A208" s="2" t="s">
        <v>687</v>
      </c>
      <c r="B208" s="8">
        <v>26</v>
      </c>
      <c r="C208" s="2" t="s">
        <v>24</v>
      </c>
      <c r="D208" s="8" t="s">
        <v>27</v>
      </c>
      <c r="E208" s="2">
        <v>21.5</v>
      </c>
      <c r="F208" s="2">
        <v>28</v>
      </c>
      <c r="G208" s="2">
        <v>29</v>
      </c>
      <c r="H208" s="2">
        <v>82</v>
      </c>
      <c r="I208" s="2">
        <v>59</v>
      </c>
      <c r="J208" s="2">
        <v>74</v>
      </c>
      <c r="K208" s="2">
        <v>28</v>
      </c>
      <c r="L208" s="2">
        <v>9988</v>
      </c>
      <c r="M208" s="2">
        <v>0</v>
      </c>
      <c r="N208" s="2">
        <v>0</v>
      </c>
      <c r="O208" s="2">
        <v>0</v>
      </c>
      <c r="P208" s="2">
        <v>1</v>
      </c>
      <c r="Q208" s="2">
        <v>0</v>
      </c>
      <c r="R208" s="2">
        <v>1</v>
      </c>
      <c r="S208" s="2">
        <v>1</v>
      </c>
      <c r="T208" s="2">
        <v>0</v>
      </c>
      <c r="U208" s="2">
        <v>1</v>
      </c>
      <c r="V208" s="2">
        <v>0</v>
      </c>
      <c r="W208" s="2">
        <v>0</v>
      </c>
      <c r="X208" s="2">
        <v>8</v>
      </c>
      <c r="Y208">
        <f t="shared" si="6"/>
        <v>3</v>
      </c>
      <c r="Z208">
        <f t="shared" si="7"/>
        <v>3</v>
      </c>
    </row>
    <row r="209" spans="1:26" x14ac:dyDescent="0.25">
      <c r="A209" s="2" t="s">
        <v>688</v>
      </c>
      <c r="B209" s="8">
        <v>27</v>
      </c>
      <c r="C209" s="2" t="s">
        <v>24</v>
      </c>
      <c r="D209" s="8" t="s">
        <v>27</v>
      </c>
      <c r="E209" s="2">
        <v>25.5</v>
      </c>
      <c r="F209" s="2">
        <v>25</v>
      </c>
      <c r="G209" s="2">
        <v>14</v>
      </c>
      <c r="H209" s="2">
        <v>44</v>
      </c>
      <c r="I209" s="2">
        <v>64</v>
      </c>
      <c r="J209" s="2">
        <v>46</v>
      </c>
      <c r="K209" s="2">
        <v>33</v>
      </c>
      <c r="L209" s="2">
        <v>2017</v>
      </c>
      <c r="M209" s="2">
        <v>0</v>
      </c>
      <c r="N209" s="2">
        <v>0</v>
      </c>
      <c r="O209" s="2">
        <v>1</v>
      </c>
      <c r="P209" s="2">
        <v>0</v>
      </c>
      <c r="Q209" s="2">
        <v>0</v>
      </c>
      <c r="R209" s="2">
        <v>1</v>
      </c>
      <c r="S209" s="2">
        <v>1</v>
      </c>
      <c r="T209" s="2">
        <v>3</v>
      </c>
      <c r="U209" s="2">
        <v>1</v>
      </c>
      <c r="V209" s="2">
        <v>0</v>
      </c>
      <c r="W209" s="2">
        <v>0</v>
      </c>
      <c r="X209" s="2">
        <v>10</v>
      </c>
      <c r="Y209">
        <f t="shared" si="6"/>
        <v>6</v>
      </c>
      <c r="Z209">
        <f t="shared" si="7"/>
        <v>1.8333333333333333</v>
      </c>
    </row>
    <row r="210" spans="1:26" x14ac:dyDescent="0.25">
      <c r="A210" s="2" t="s">
        <v>689</v>
      </c>
      <c r="B210" s="8">
        <v>28</v>
      </c>
      <c r="C210" s="2" t="s">
        <v>24</v>
      </c>
      <c r="D210" s="8" t="s">
        <v>27</v>
      </c>
      <c r="E210" s="2">
        <v>20.5</v>
      </c>
      <c r="F210" s="2">
        <v>21.5</v>
      </c>
      <c r="G210" s="2">
        <v>55</v>
      </c>
      <c r="H210" s="2"/>
      <c r="I210" s="2">
        <v>60</v>
      </c>
      <c r="J210" s="2"/>
      <c r="K210" s="2">
        <v>30</v>
      </c>
      <c r="L210" s="2" t="s">
        <v>21</v>
      </c>
      <c r="M210" s="2">
        <v>1</v>
      </c>
      <c r="N210" s="2">
        <v>0</v>
      </c>
      <c r="O210" s="2">
        <v>1</v>
      </c>
      <c r="P210" s="2">
        <v>0</v>
      </c>
      <c r="Q210" s="2">
        <v>0</v>
      </c>
      <c r="R210" s="2">
        <v>1</v>
      </c>
      <c r="S210" s="2"/>
      <c r="T210" s="2"/>
      <c r="U210" s="2"/>
      <c r="V210" s="2"/>
      <c r="W210" s="2"/>
      <c r="X210" s="2"/>
      <c r="Y210">
        <f t="shared" si="6"/>
        <v>2</v>
      </c>
      <c r="Z210">
        <f t="shared" si="7"/>
        <v>0.5</v>
      </c>
    </row>
    <row r="211" spans="1:26" x14ac:dyDescent="0.25">
      <c r="A211" s="2" t="s">
        <v>690</v>
      </c>
      <c r="B211" s="8">
        <v>29</v>
      </c>
      <c r="C211" s="2" t="s">
        <v>24</v>
      </c>
      <c r="D211" s="8" t="s">
        <v>27</v>
      </c>
      <c r="E211" s="2">
        <v>24</v>
      </c>
      <c r="F211" s="2">
        <v>35</v>
      </c>
      <c r="G211" s="2">
        <v>19</v>
      </c>
      <c r="H211" s="2">
        <v>79</v>
      </c>
      <c r="I211" s="2">
        <v>65</v>
      </c>
      <c r="J211" s="2">
        <v>81</v>
      </c>
      <c r="K211" s="2">
        <v>36</v>
      </c>
      <c r="L211" s="2">
        <v>4473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2</v>
      </c>
      <c r="S211" s="2">
        <v>1</v>
      </c>
      <c r="T211" s="2">
        <v>0</v>
      </c>
      <c r="U211" s="2">
        <v>0</v>
      </c>
      <c r="V211" s="2">
        <v>0</v>
      </c>
      <c r="W211" s="2">
        <v>1</v>
      </c>
      <c r="X211" s="2">
        <v>18</v>
      </c>
      <c r="Y211">
        <f t="shared" si="6"/>
        <v>2</v>
      </c>
      <c r="Z211">
        <f t="shared" si="7"/>
        <v>10</v>
      </c>
    </row>
    <row r="212" spans="1:26" x14ac:dyDescent="0.25">
      <c r="A212" s="2" t="s">
        <v>691</v>
      </c>
      <c r="B212" s="8">
        <v>30</v>
      </c>
      <c r="C212" s="2" t="s">
        <v>24</v>
      </c>
      <c r="D212" s="8" t="s">
        <v>27</v>
      </c>
      <c r="E212" s="2">
        <v>21</v>
      </c>
      <c r="F212" s="2">
        <v>18</v>
      </c>
      <c r="G212" s="2"/>
      <c r="H212" s="2">
        <v>58</v>
      </c>
      <c r="I212" s="2"/>
      <c r="J212" s="2">
        <v>75</v>
      </c>
      <c r="K212" s="2">
        <v>27</v>
      </c>
      <c r="L212" s="2">
        <v>5985</v>
      </c>
      <c r="M212" s="2"/>
      <c r="N212" s="2"/>
      <c r="O212" s="2"/>
      <c r="P212" s="2"/>
      <c r="Q212" s="2"/>
      <c r="R212" s="2"/>
      <c r="S212" s="2">
        <v>1</v>
      </c>
      <c r="T212" s="2">
        <v>0</v>
      </c>
      <c r="U212" s="2">
        <v>1</v>
      </c>
      <c r="V212" s="2">
        <v>0</v>
      </c>
      <c r="W212" s="2">
        <v>0</v>
      </c>
      <c r="X212" s="2">
        <v>6</v>
      </c>
      <c r="Y212">
        <f t="shared" si="6"/>
        <v>2</v>
      </c>
      <c r="Z212">
        <f t="shared" si="7"/>
        <v>3</v>
      </c>
    </row>
    <row r="213" spans="1:26" x14ac:dyDescent="0.25">
      <c r="A213" s="2" t="s">
        <v>692</v>
      </c>
      <c r="B213" s="8">
        <v>31</v>
      </c>
      <c r="C213" s="2" t="s">
        <v>24</v>
      </c>
      <c r="D213" s="8" t="s">
        <v>27</v>
      </c>
      <c r="E213" s="2">
        <v>28</v>
      </c>
      <c r="F213" s="2">
        <v>28</v>
      </c>
      <c r="G213" s="2">
        <v>53</v>
      </c>
      <c r="H213" s="2">
        <v>85</v>
      </c>
      <c r="I213" s="2">
        <v>66</v>
      </c>
      <c r="J213" s="2">
        <v>66</v>
      </c>
      <c r="K213" s="2">
        <v>35</v>
      </c>
      <c r="L213" s="2" t="s">
        <v>21</v>
      </c>
      <c r="M213" s="2">
        <v>0</v>
      </c>
      <c r="N213" s="2">
        <v>0</v>
      </c>
      <c r="O213" s="2">
        <v>0</v>
      </c>
      <c r="P213" s="2">
        <v>1</v>
      </c>
      <c r="Q213" s="2">
        <v>0</v>
      </c>
      <c r="R213" s="2">
        <v>1</v>
      </c>
      <c r="S213" s="2">
        <v>0</v>
      </c>
      <c r="T213" s="2">
        <v>4</v>
      </c>
      <c r="U213" s="2">
        <v>1</v>
      </c>
      <c r="V213" s="2">
        <v>0</v>
      </c>
      <c r="W213" s="2">
        <v>0</v>
      </c>
      <c r="X213" s="2">
        <v>15</v>
      </c>
      <c r="Y213">
        <f t="shared" si="6"/>
        <v>6</v>
      </c>
      <c r="Z213">
        <f t="shared" si="7"/>
        <v>2.6666666666666665</v>
      </c>
    </row>
    <row r="214" spans="1:26" x14ac:dyDescent="0.25">
      <c r="A214" s="2" t="s">
        <v>693</v>
      </c>
      <c r="B214" s="8">
        <v>32</v>
      </c>
      <c r="C214" s="2" t="s">
        <v>24</v>
      </c>
      <c r="D214" s="8" t="s">
        <v>27</v>
      </c>
      <c r="E214" s="2">
        <v>19</v>
      </c>
      <c r="F214" s="2">
        <v>23</v>
      </c>
      <c r="G214" s="2">
        <v>36</v>
      </c>
      <c r="H214" s="2">
        <v>133</v>
      </c>
      <c r="I214" s="2">
        <v>51</v>
      </c>
      <c r="J214" s="2">
        <v>62</v>
      </c>
      <c r="K214" s="2">
        <v>32</v>
      </c>
      <c r="L214" s="2">
        <v>5378</v>
      </c>
      <c r="M214" s="2">
        <v>0</v>
      </c>
      <c r="N214" s="2">
        <v>0</v>
      </c>
      <c r="O214" s="2">
        <v>2</v>
      </c>
      <c r="P214" s="2">
        <v>0</v>
      </c>
      <c r="Q214" s="2">
        <v>0</v>
      </c>
      <c r="R214" s="2">
        <v>4</v>
      </c>
      <c r="S214" s="2">
        <v>1</v>
      </c>
      <c r="T214" s="2">
        <v>2</v>
      </c>
      <c r="U214" s="2">
        <v>1</v>
      </c>
      <c r="V214" s="2">
        <v>0</v>
      </c>
      <c r="W214" s="2">
        <v>0</v>
      </c>
      <c r="X214" s="2">
        <v>23</v>
      </c>
      <c r="Y214">
        <f t="shared" si="6"/>
        <v>6</v>
      </c>
      <c r="Z214">
        <f t="shared" si="7"/>
        <v>4.5</v>
      </c>
    </row>
    <row r="215" spans="1:26" x14ac:dyDescent="0.25">
      <c r="A215" s="2" t="s">
        <v>694</v>
      </c>
      <c r="B215" s="8">
        <v>33</v>
      </c>
      <c r="C215" s="2" t="s">
        <v>24</v>
      </c>
      <c r="D215" s="8" t="s">
        <v>27</v>
      </c>
      <c r="E215" s="2">
        <v>18</v>
      </c>
      <c r="F215" s="2">
        <v>20</v>
      </c>
      <c r="G215" s="2"/>
      <c r="H215" s="2"/>
      <c r="I215" s="2"/>
      <c r="J215" s="2"/>
      <c r="K215" s="2">
        <v>38</v>
      </c>
      <c r="L215" s="2" t="s">
        <v>21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>
        <f t="shared" si="6"/>
        <v>0</v>
      </c>
      <c r="Z215" t="e">
        <f t="shared" si="7"/>
        <v>#DIV/0!</v>
      </c>
    </row>
    <row r="216" spans="1:26" x14ac:dyDescent="0.25">
      <c r="A216" s="2" t="s">
        <v>695</v>
      </c>
      <c r="B216" s="8">
        <v>34</v>
      </c>
      <c r="C216" s="2" t="s">
        <v>24</v>
      </c>
      <c r="D216" s="8" t="s">
        <v>27</v>
      </c>
      <c r="E216" s="2">
        <v>22.5</v>
      </c>
      <c r="F216" s="2">
        <v>26.5</v>
      </c>
      <c r="G216" s="2">
        <v>55</v>
      </c>
      <c r="H216" s="2"/>
      <c r="I216" s="2">
        <v>61</v>
      </c>
      <c r="J216" s="2"/>
      <c r="K216" s="2">
        <v>32</v>
      </c>
      <c r="L216" s="2">
        <v>3833</v>
      </c>
      <c r="M216" s="2">
        <v>0</v>
      </c>
      <c r="N216" s="2">
        <v>0</v>
      </c>
      <c r="O216" s="2">
        <v>1</v>
      </c>
      <c r="P216" s="2">
        <v>0</v>
      </c>
      <c r="Q216" s="2">
        <v>0</v>
      </c>
      <c r="R216" s="2">
        <v>6</v>
      </c>
      <c r="S216" s="2"/>
      <c r="T216" s="2"/>
      <c r="U216" s="2"/>
      <c r="V216" s="2"/>
      <c r="W216" s="2"/>
      <c r="X216" s="2"/>
      <c r="Y216">
        <f t="shared" si="6"/>
        <v>1</v>
      </c>
      <c r="Z216">
        <f t="shared" si="7"/>
        <v>6</v>
      </c>
    </row>
    <row r="217" spans="1:26" x14ac:dyDescent="0.25">
      <c r="A217" s="2" t="s">
        <v>696</v>
      </c>
      <c r="B217" s="8">
        <v>35</v>
      </c>
      <c r="C217" s="2" t="s">
        <v>24</v>
      </c>
      <c r="D217" s="8" t="s">
        <v>27</v>
      </c>
      <c r="E217" s="2">
        <v>21.5</v>
      </c>
      <c r="F217" s="2">
        <v>27</v>
      </c>
      <c r="G217" s="2">
        <v>20</v>
      </c>
      <c r="H217" s="2"/>
      <c r="I217" s="2">
        <v>77</v>
      </c>
      <c r="J217" s="2"/>
      <c r="K217" s="2">
        <v>31</v>
      </c>
      <c r="L217" s="2">
        <v>481</v>
      </c>
      <c r="M217" s="2">
        <v>0</v>
      </c>
      <c r="N217" s="2">
        <v>0</v>
      </c>
      <c r="O217" s="2">
        <v>1</v>
      </c>
      <c r="P217" s="2">
        <v>0</v>
      </c>
      <c r="Q217" s="2">
        <v>0</v>
      </c>
      <c r="R217" s="2">
        <v>3</v>
      </c>
      <c r="S217" s="2"/>
      <c r="T217" s="2"/>
      <c r="U217" s="2"/>
      <c r="V217" s="2"/>
      <c r="W217" s="2"/>
      <c r="X217" s="2"/>
      <c r="Y217">
        <f t="shared" si="6"/>
        <v>1</v>
      </c>
      <c r="Z217">
        <f t="shared" si="7"/>
        <v>3</v>
      </c>
    </row>
    <row r="218" spans="1:26" x14ac:dyDescent="0.25">
      <c r="A218" s="2" t="s">
        <v>697</v>
      </c>
      <c r="B218" s="8">
        <v>36</v>
      </c>
      <c r="C218" s="2" t="s">
        <v>24</v>
      </c>
      <c r="D218" s="8" t="s">
        <v>27</v>
      </c>
      <c r="E218" s="2">
        <v>17</v>
      </c>
      <c r="F218" s="2">
        <v>24</v>
      </c>
      <c r="G218" s="2"/>
      <c r="H218" s="2"/>
      <c r="I218" s="2"/>
      <c r="J218" s="2"/>
      <c r="K218" s="2">
        <v>31</v>
      </c>
      <c r="L218" s="2">
        <v>6695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>
        <f t="shared" si="6"/>
        <v>0</v>
      </c>
      <c r="Z218" t="e">
        <f t="shared" si="7"/>
        <v>#DIV/0!</v>
      </c>
    </row>
    <row r="219" spans="1:26" x14ac:dyDescent="0.25">
      <c r="A219" s="2" t="s">
        <v>698</v>
      </c>
      <c r="B219" s="8">
        <v>37</v>
      </c>
      <c r="C219" s="2" t="s">
        <v>24</v>
      </c>
      <c r="D219" s="8" t="s">
        <v>27</v>
      </c>
      <c r="E219" s="2">
        <v>22.5</v>
      </c>
      <c r="F219" s="2">
        <v>24</v>
      </c>
      <c r="G219" s="2">
        <v>22</v>
      </c>
      <c r="H219" s="2"/>
      <c r="I219" s="2">
        <v>53</v>
      </c>
      <c r="J219" s="2"/>
      <c r="K219" s="2">
        <v>31</v>
      </c>
      <c r="L219" s="2">
        <v>3457</v>
      </c>
      <c r="M219" s="2">
        <v>0</v>
      </c>
      <c r="N219" s="2">
        <v>0</v>
      </c>
      <c r="O219" s="2">
        <v>0</v>
      </c>
      <c r="P219" s="2">
        <v>1</v>
      </c>
      <c r="Q219" s="2">
        <v>0</v>
      </c>
      <c r="R219" s="2">
        <v>7</v>
      </c>
      <c r="S219" s="2"/>
      <c r="T219" s="2"/>
      <c r="U219" s="2"/>
      <c r="V219" s="2"/>
      <c r="W219" s="2"/>
      <c r="X219" s="2"/>
      <c r="Y219">
        <f t="shared" si="6"/>
        <v>1</v>
      </c>
      <c r="Z219">
        <f t="shared" si="7"/>
        <v>7</v>
      </c>
    </row>
    <row r="220" spans="1:26" x14ac:dyDescent="0.25">
      <c r="A220" s="2" t="s">
        <v>699</v>
      </c>
      <c r="B220" s="8">
        <v>38</v>
      </c>
      <c r="C220" s="2" t="s">
        <v>24</v>
      </c>
      <c r="D220" s="8" t="s">
        <v>27</v>
      </c>
      <c r="E220" s="2">
        <v>23</v>
      </c>
      <c r="F220" s="2">
        <v>32</v>
      </c>
      <c r="G220" s="2">
        <v>46</v>
      </c>
      <c r="H220" s="2"/>
      <c r="I220" s="2">
        <v>62</v>
      </c>
      <c r="J220" s="2"/>
      <c r="K220" s="2">
        <v>31</v>
      </c>
      <c r="L220" s="2">
        <v>5042</v>
      </c>
      <c r="M220" s="2">
        <v>1</v>
      </c>
      <c r="N220" s="2">
        <v>0</v>
      </c>
      <c r="O220" s="2">
        <v>2</v>
      </c>
      <c r="P220" s="2">
        <v>0</v>
      </c>
      <c r="Q220" s="2">
        <v>0</v>
      </c>
      <c r="R220" s="2">
        <v>14</v>
      </c>
      <c r="S220" s="2"/>
      <c r="T220" s="2"/>
      <c r="U220" s="2"/>
      <c r="V220" s="2"/>
      <c r="W220" s="2"/>
      <c r="X220" s="2"/>
      <c r="Y220">
        <f t="shared" si="6"/>
        <v>3</v>
      </c>
      <c r="Z220">
        <f t="shared" si="7"/>
        <v>4.666666666666667</v>
      </c>
    </row>
    <row r="221" spans="1:26" x14ac:dyDescent="0.25">
      <c r="A221" s="2" t="s">
        <v>700</v>
      </c>
      <c r="B221" s="8">
        <v>39</v>
      </c>
      <c r="C221" s="2" t="s">
        <v>24</v>
      </c>
      <c r="D221" s="8" t="s">
        <v>27</v>
      </c>
      <c r="E221" s="2">
        <v>25</v>
      </c>
      <c r="F221" s="2">
        <v>31</v>
      </c>
      <c r="G221" s="2">
        <v>24</v>
      </c>
      <c r="H221" s="2">
        <v>63</v>
      </c>
      <c r="I221" s="2">
        <v>63</v>
      </c>
      <c r="J221" s="2">
        <v>75</v>
      </c>
      <c r="K221" s="2">
        <v>30</v>
      </c>
      <c r="L221" s="2">
        <v>985</v>
      </c>
      <c r="M221" s="2">
        <v>0</v>
      </c>
      <c r="N221" s="2">
        <v>1</v>
      </c>
      <c r="O221" s="2">
        <v>0</v>
      </c>
      <c r="P221" s="2">
        <v>0</v>
      </c>
      <c r="Q221" s="2">
        <v>0</v>
      </c>
      <c r="R221" s="2">
        <v>2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14</v>
      </c>
      <c r="Y221">
        <f t="shared" si="6"/>
        <v>2</v>
      </c>
      <c r="Z221">
        <f t="shared" si="7"/>
        <v>8</v>
      </c>
    </row>
    <row r="222" spans="1:26" x14ac:dyDescent="0.25">
      <c r="A222" s="2" t="s">
        <v>701</v>
      </c>
      <c r="B222" s="8">
        <v>40</v>
      </c>
      <c r="C222" s="2" t="s">
        <v>24</v>
      </c>
      <c r="D222" s="8" t="s">
        <v>27</v>
      </c>
      <c r="E222" s="2">
        <v>19</v>
      </c>
      <c r="F222" s="2">
        <v>22</v>
      </c>
      <c r="G222" s="2"/>
      <c r="H222" s="2">
        <v>77</v>
      </c>
      <c r="I222" s="2"/>
      <c r="J222" s="2">
        <v>51</v>
      </c>
      <c r="K222" s="2">
        <v>30</v>
      </c>
      <c r="L222" s="2" t="s">
        <v>21</v>
      </c>
      <c r="M222" s="2"/>
      <c r="N222" s="2"/>
      <c r="O222" s="2"/>
      <c r="P222" s="2"/>
      <c r="Q222" s="2"/>
      <c r="R222" s="2"/>
      <c r="S222" s="2">
        <v>1</v>
      </c>
      <c r="T222" s="2">
        <v>0</v>
      </c>
      <c r="U222" s="2">
        <v>1</v>
      </c>
      <c r="V222" s="2">
        <v>0</v>
      </c>
      <c r="W222" s="2">
        <v>0</v>
      </c>
      <c r="X222" s="2">
        <v>2</v>
      </c>
      <c r="Y222">
        <f t="shared" si="6"/>
        <v>2</v>
      </c>
      <c r="Z222">
        <f t="shared" si="7"/>
        <v>1</v>
      </c>
    </row>
    <row r="223" spans="1:26" x14ac:dyDescent="0.25">
      <c r="A223" s="2" t="s">
        <v>746</v>
      </c>
      <c r="B223" s="8">
        <v>21</v>
      </c>
      <c r="C223" s="2" t="s">
        <v>25</v>
      </c>
      <c r="D223" s="8" t="s">
        <v>27</v>
      </c>
      <c r="E223" s="2">
        <v>18</v>
      </c>
      <c r="F223" s="2">
        <v>29</v>
      </c>
      <c r="G223" s="2"/>
      <c r="H223" s="2">
        <v>26</v>
      </c>
      <c r="I223" s="2"/>
      <c r="J223" s="2">
        <v>72</v>
      </c>
      <c r="K223" s="2">
        <v>32</v>
      </c>
      <c r="L223" s="2">
        <v>550</v>
      </c>
      <c r="M223" s="2"/>
      <c r="N223" s="2"/>
      <c r="O223" s="2"/>
      <c r="P223" s="2"/>
      <c r="Q223" s="2"/>
      <c r="R223" s="2"/>
      <c r="S223" s="2">
        <v>0</v>
      </c>
      <c r="T223" s="2">
        <v>0</v>
      </c>
      <c r="U223" s="2">
        <v>1</v>
      </c>
      <c r="V223" s="2">
        <v>0</v>
      </c>
      <c r="W223" s="2">
        <v>0</v>
      </c>
      <c r="X223" s="2">
        <v>5</v>
      </c>
      <c r="Y223">
        <f t="shared" si="6"/>
        <v>1</v>
      </c>
      <c r="Z223">
        <f t="shared" si="7"/>
        <v>5</v>
      </c>
    </row>
    <row r="224" spans="1:26" x14ac:dyDescent="0.25">
      <c r="A224" s="2" t="s">
        <v>747</v>
      </c>
      <c r="B224" s="8">
        <v>22</v>
      </c>
      <c r="C224" s="2" t="s">
        <v>25</v>
      </c>
      <c r="D224" s="8" t="s">
        <v>27</v>
      </c>
      <c r="E224" s="2">
        <v>21</v>
      </c>
      <c r="F224" s="2">
        <v>24</v>
      </c>
      <c r="G224" s="2">
        <v>48</v>
      </c>
      <c r="H224" s="2">
        <v>102</v>
      </c>
      <c r="I224" s="2">
        <v>52</v>
      </c>
      <c r="J224" s="2">
        <v>58</v>
      </c>
      <c r="K224" s="2">
        <v>30</v>
      </c>
      <c r="L224" s="2">
        <v>666</v>
      </c>
      <c r="M224" s="2">
        <v>1</v>
      </c>
      <c r="N224" s="2">
        <v>0</v>
      </c>
      <c r="O224" s="2">
        <v>2</v>
      </c>
      <c r="P224" s="2">
        <v>0</v>
      </c>
      <c r="Q224" s="2">
        <v>0</v>
      </c>
      <c r="R224" s="2">
        <v>6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5</v>
      </c>
      <c r="Y224">
        <f t="shared" si="6"/>
        <v>5</v>
      </c>
      <c r="Z224">
        <f t="shared" si="7"/>
        <v>2.2000000000000002</v>
      </c>
    </row>
    <row r="225" spans="1:26" x14ac:dyDescent="0.25">
      <c r="A225" s="2" t="s">
        <v>748</v>
      </c>
      <c r="B225" s="8">
        <v>23</v>
      </c>
      <c r="C225" s="2" t="s">
        <v>25</v>
      </c>
      <c r="D225" s="8" t="s">
        <v>27</v>
      </c>
      <c r="E225" s="2">
        <v>25</v>
      </c>
      <c r="F225" s="2">
        <v>24.5</v>
      </c>
      <c r="G225" s="2">
        <v>24</v>
      </c>
      <c r="H225" s="2">
        <v>27</v>
      </c>
      <c r="I225" s="2">
        <v>70</v>
      </c>
      <c r="J225" s="2">
        <v>70</v>
      </c>
      <c r="K225" s="2">
        <v>32</v>
      </c>
      <c r="L225" s="2" t="s">
        <v>21</v>
      </c>
      <c r="M225" s="2">
        <v>0</v>
      </c>
      <c r="N225" s="2">
        <v>0</v>
      </c>
      <c r="O225" s="2">
        <v>1</v>
      </c>
      <c r="P225" s="2">
        <v>0</v>
      </c>
      <c r="Q225" s="2">
        <v>0</v>
      </c>
      <c r="R225" s="2">
        <v>1</v>
      </c>
      <c r="S225" s="2">
        <v>0</v>
      </c>
      <c r="T225" s="2">
        <v>1</v>
      </c>
      <c r="U225" s="2">
        <v>1</v>
      </c>
      <c r="V225" s="2">
        <v>0</v>
      </c>
      <c r="W225" s="2">
        <v>0</v>
      </c>
      <c r="X225" s="2">
        <v>2</v>
      </c>
      <c r="Y225">
        <f t="shared" si="6"/>
        <v>3</v>
      </c>
      <c r="Z225">
        <f t="shared" si="7"/>
        <v>1</v>
      </c>
    </row>
    <row r="226" spans="1:26" x14ac:dyDescent="0.25">
      <c r="A226" s="2" t="s">
        <v>749</v>
      </c>
      <c r="B226" s="8">
        <v>24</v>
      </c>
      <c r="C226" s="2" t="s">
        <v>25</v>
      </c>
      <c r="D226" s="8" t="s">
        <v>27</v>
      </c>
      <c r="E226" s="2">
        <v>24</v>
      </c>
      <c r="F226" s="2">
        <v>32</v>
      </c>
      <c r="G226" s="2">
        <v>23</v>
      </c>
      <c r="H226" s="2"/>
      <c r="I226" s="2">
        <v>43</v>
      </c>
      <c r="J226" s="2"/>
      <c r="K226" s="2">
        <v>31</v>
      </c>
      <c r="L226" s="2">
        <v>587</v>
      </c>
      <c r="M226" s="2">
        <v>0</v>
      </c>
      <c r="N226" s="2">
        <v>0</v>
      </c>
      <c r="O226" s="2">
        <v>1</v>
      </c>
      <c r="P226" s="2">
        <v>0</v>
      </c>
      <c r="Q226" s="2">
        <v>0</v>
      </c>
      <c r="R226" s="2">
        <v>2</v>
      </c>
      <c r="S226" s="2"/>
      <c r="T226" s="2"/>
      <c r="U226" s="2"/>
      <c r="V226" s="2"/>
      <c r="W226" s="2"/>
      <c r="X226" s="2"/>
      <c r="Y226">
        <f t="shared" si="6"/>
        <v>1</v>
      </c>
      <c r="Z226">
        <f t="shared" si="7"/>
        <v>2</v>
      </c>
    </row>
    <row r="227" spans="1:26" x14ac:dyDescent="0.25">
      <c r="A227" s="2" t="s">
        <v>750</v>
      </c>
      <c r="B227" s="8">
        <v>25</v>
      </c>
      <c r="C227" s="2" t="s">
        <v>25</v>
      </c>
      <c r="D227" s="8" t="s">
        <v>27</v>
      </c>
      <c r="E227" s="2">
        <v>20</v>
      </c>
      <c r="F227" s="2">
        <v>26</v>
      </c>
      <c r="G227" s="2">
        <v>44</v>
      </c>
      <c r="H227" s="2">
        <v>140</v>
      </c>
      <c r="I227" s="2">
        <v>54</v>
      </c>
      <c r="J227" s="2">
        <v>76</v>
      </c>
      <c r="K227" s="2">
        <v>30</v>
      </c>
      <c r="L227" s="2" t="s">
        <v>21</v>
      </c>
      <c r="M227" s="2">
        <v>2</v>
      </c>
      <c r="N227" s="2">
        <v>0</v>
      </c>
      <c r="O227" s="2">
        <v>2</v>
      </c>
      <c r="P227" s="2">
        <v>0</v>
      </c>
      <c r="Q227" s="2">
        <v>0</v>
      </c>
      <c r="R227" s="2">
        <v>6</v>
      </c>
      <c r="S227" s="2">
        <v>3</v>
      </c>
      <c r="T227" s="2">
        <v>0</v>
      </c>
      <c r="U227" s="2">
        <v>2</v>
      </c>
      <c r="V227" s="2">
        <v>0</v>
      </c>
      <c r="W227" s="2">
        <v>0</v>
      </c>
      <c r="X227" s="2">
        <v>39</v>
      </c>
      <c r="Y227">
        <f t="shared" si="6"/>
        <v>9</v>
      </c>
      <c r="Z227">
        <f t="shared" si="7"/>
        <v>5</v>
      </c>
    </row>
    <row r="228" spans="1:26" x14ac:dyDescent="0.25">
      <c r="A228" s="2" t="s">
        <v>751</v>
      </c>
      <c r="B228" s="8">
        <v>26</v>
      </c>
      <c r="C228" s="2" t="s">
        <v>25</v>
      </c>
      <c r="D228" s="8" t="s">
        <v>27</v>
      </c>
      <c r="E228" s="2">
        <v>19</v>
      </c>
      <c r="F228" s="2">
        <v>17</v>
      </c>
      <c r="G228" s="2">
        <v>57</v>
      </c>
      <c r="H228" s="2">
        <v>61</v>
      </c>
      <c r="I228" s="2">
        <v>42</v>
      </c>
      <c r="J228" s="2">
        <v>48</v>
      </c>
      <c r="K228" s="2">
        <v>29</v>
      </c>
      <c r="L228" s="2">
        <v>2283</v>
      </c>
      <c r="M228" s="2">
        <v>0</v>
      </c>
      <c r="N228" s="2">
        <v>0</v>
      </c>
      <c r="O228" s="2">
        <v>1</v>
      </c>
      <c r="P228" s="2">
        <v>0</v>
      </c>
      <c r="Q228" s="2">
        <v>0</v>
      </c>
      <c r="R228" s="2">
        <v>2</v>
      </c>
      <c r="S228" s="2">
        <v>0</v>
      </c>
      <c r="T228" s="2">
        <v>0</v>
      </c>
      <c r="U228" s="2">
        <v>1</v>
      </c>
      <c r="V228" s="2">
        <v>0</v>
      </c>
      <c r="W228" s="2">
        <v>0</v>
      </c>
      <c r="X228" s="2">
        <v>3</v>
      </c>
      <c r="Y228">
        <f t="shared" si="6"/>
        <v>2</v>
      </c>
      <c r="Z228">
        <f t="shared" si="7"/>
        <v>2.5</v>
      </c>
    </row>
    <row r="229" spans="1:26" x14ac:dyDescent="0.25">
      <c r="A229" s="2" t="s">
        <v>752</v>
      </c>
      <c r="B229" s="8">
        <v>27</v>
      </c>
      <c r="C229" s="2" t="s">
        <v>25</v>
      </c>
      <c r="D229" s="8" t="s">
        <v>27</v>
      </c>
      <c r="E229" s="2">
        <v>21</v>
      </c>
      <c r="F229" s="2">
        <v>22.5</v>
      </c>
      <c r="G229" s="2">
        <v>39</v>
      </c>
      <c r="H229" s="2"/>
      <c r="I229" s="2">
        <v>64</v>
      </c>
      <c r="J229" s="2"/>
      <c r="K229" s="2">
        <v>36</v>
      </c>
      <c r="L229" s="2">
        <v>25378</v>
      </c>
      <c r="M229" s="2">
        <v>1</v>
      </c>
      <c r="N229" s="2">
        <v>0</v>
      </c>
      <c r="O229" s="2">
        <v>1</v>
      </c>
      <c r="P229" s="2">
        <v>0</v>
      </c>
      <c r="Q229" s="2">
        <v>0</v>
      </c>
      <c r="R229" s="2">
        <v>16</v>
      </c>
      <c r="S229" s="2"/>
      <c r="T229" s="2"/>
      <c r="U229" s="2"/>
      <c r="V229" s="2"/>
      <c r="W229" s="2"/>
      <c r="X229" s="2"/>
      <c r="Y229">
        <f t="shared" si="6"/>
        <v>2</v>
      </c>
      <c r="Z229">
        <f t="shared" si="7"/>
        <v>8</v>
      </c>
    </row>
    <row r="230" spans="1:26" x14ac:dyDescent="0.25">
      <c r="A230" s="2" t="s">
        <v>753</v>
      </c>
      <c r="B230" s="8">
        <v>28</v>
      </c>
      <c r="C230" s="2" t="s">
        <v>25</v>
      </c>
      <c r="D230" s="8" t="s">
        <v>27</v>
      </c>
      <c r="E230" s="2">
        <v>21</v>
      </c>
      <c r="F230" s="2">
        <v>26</v>
      </c>
      <c r="G230" s="2">
        <v>44</v>
      </c>
      <c r="H230" s="2"/>
      <c r="I230" s="2">
        <v>62</v>
      </c>
      <c r="J230" s="2"/>
      <c r="K230" s="2">
        <v>31</v>
      </c>
      <c r="L230" s="2">
        <v>3915</v>
      </c>
      <c r="M230" s="2">
        <v>0</v>
      </c>
      <c r="N230" s="2">
        <v>0</v>
      </c>
      <c r="O230" s="2">
        <v>1</v>
      </c>
      <c r="P230" s="2">
        <v>0</v>
      </c>
      <c r="Q230" s="2">
        <v>0</v>
      </c>
      <c r="R230" s="2">
        <v>1</v>
      </c>
      <c r="S230" s="2"/>
      <c r="T230" s="2"/>
      <c r="U230" s="2"/>
      <c r="V230" s="2"/>
      <c r="W230" s="2"/>
      <c r="X230" s="2"/>
      <c r="Y230">
        <f t="shared" si="6"/>
        <v>1</v>
      </c>
      <c r="Z230">
        <f t="shared" si="7"/>
        <v>1</v>
      </c>
    </row>
    <row r="231" spans="1:26" x14ac:dyDescent="0.25">
      <c r="A231" s="2" t="s">
        <v>754</v>
      </c>
      <c r="B231" s="8">
        <v>29</v>
      </c>
      <c r="C231" s="2" t="s">
        <v>25</v>
      </c>
      <c r="D231" s="8" t="s">
        <v>27</v>
      </c>
      <c r="E231" s="2">
        <v>20</v>
      </c>
      <c r="F231" s="2">
        <v>17</v>
      </c>
      <c r="G231" s="2"/>
      <c r="H231" s="2">
        <v>37</v>
      </c>
      <c r="I231" s="2"/>
      <c r="J231" s="2">
        <v>66</v>
      </c>
      <c r="K231" s="2">
        <v>29</v>
      </c>
      <c r="L231" s="2" t="s">
        <v>21</v>
      </c>
      <c r="M231" s="2"/>
      <c r="N231" s="2"/>
      <c r="O231" s="2"/>
      <c r="P231" s="2"/>
      <c r="Q231" s="2"/>
      <c r="R231" s="2"/>
      <c r="S231" s="2">
        <v>2</v>
      </c>
      <c r="T231" s="2">
        <v>0</v>
      </c>
      <c r="U231" s="2">
        <v>0</v>
      </c>
      <c r="V231" s="2">
        <v>0</v>
      </c>
      <c r="W231" s="2">
        <v>0</v>
      </c>
      <c r="X231" s="2">
        <v>12</v>
      </c>
      <c r="Y231">
        <f t="shared" si="6"/>
        <v>2</v>
      </c>
      <c r="Z231">
        <f t="shared" si="7"/>
        <v>6</v>
      </c>
    </row>
    <row r="232" spans="1:26" x14ac:dyDescent="0.25">
      <c r="A232" s="2" t="s">
        <v>755</v>
      </c>
      <c r="B232" s="8">
        <v>30</v>
      </c>
      <c r="C232" s="2" t="s">
        <v>25</v>
      </c>
      <c r="D232" s="8" t="s">
        <v>27</v>
      </c>
      <c r="E232" s="2">
        <v>25</v>
      </c>
      <c r="F232" s="2">
        <v>30</v>
      </c>
      <c r="G232" s="2">
        <v>41</v>
      </c>
      <c r="H232" s="2">
        <v>76</v>
      </c>
      <c r="I232" s="2">
        <v>67</v>
      </c>
      <c r="J232" s="2">
        <v>77</v>
      </c>
      <c r="K232" s="2">
        <v>30</v>
      </c>
      <c r="L232" s="2">
        <v>1817</v>
      </c>
      <c r="M232" s="2">
        <v>0</v>
      </c>
      <c r="N232" s="2">
        <v>0</v>
      </c>
      <c r="O232" s="2">
        <v>2</v>
      </c>
      <c r="P232" s="2">
        <v>0</v>
      </c>
      <c r="Q232" s="2">
        <v>0</v>
      </c>
      <c r="R232" s="2">
        <v>2</v>
      </c>
      <c r="S232" s="2">
        <v>0</v>
      </c>
      <c r="T232" s="2">
        <v>1</v>
      </c>
      <c r="U232" s="2">
        <v>1</v>
      </c>
      <c r="V232" s="2">
        <v>0</v>
      </c>
      <c r="W232" s="2">
        <v>1</v>
      </c>
      <c r="X232" s="2">
        <v>19</v>
      </c>
      <c r="Y232">
        <f t="shared" si="6"/>
        <v>5</v>
      </c>
      <c r="Z232">
        <f t="shared" si="7"/>
        <v>4.2</v>
      </c>
    </row>
    <row r="233" spans="1:26" x14ac:dyDescent="0.25">
      <c r="A233" s="2" t="s">
        <v>756</v>
      </c>
      <c r="B233" s="8">
        <v>31</v>
      </c>
      <c r="C233" s="2" t="s">
        <v>25</v>
      </c>
      <c r="D233" s="8" t="s">
        <v>27</v>
      </c>
      <c r="E233" s="2">
        <v>22.5</v>
      </c>
      <c r="F233" s="2">
        <v>32.5</v>
      </c>
      <c r="G233" s="2">
        <v>34</v>
      </c>
      <c r="H233" s="2">
        <v>120</v>
      </c>
      <c r="I233" s="2">
        <v>72</v>
      </c>
      <c r="J233" s="2">
        <v>62</v>
      </c>
      <c r="K233" s="2">
        <v>32</v>
      </c>
      <c r="L233" s="2">
        <v>2394</v>
      </c>
      <c r="M233" s="2">
        <v>1</v>
      </c>
      <c r="N233" s="2">
        <v>0</v>
      </c>
      <c r="O233" s="2">
        <v>1</v>
      </c>
      <c r="P233" s="2">
        <v>0</v>
      </c>
      <c r="Q233" s="2">
        <v>0</v>
      </c>
      <c r="R233" s="2">
        <v>17</v>
      </c>
      <c r="S233" s="2">
        <v>1</v>
      </c>
      <c r="T233" s="2">
        <v>1</v>
      </c>
      <c r="U233" s="2">
        <v>0</v>
      </c>
      <c r="V233" s="2">
        <v>0</v>
      </c>
      <c r="W233" s="2">
        <v>0</v>
      </c>
      <c r="X233" s="2">
        <v>19</v>
      </c>
      <c r="Y233">
        <f t="shared" si="6"/>
        <v>4</v>
      </c>
      <c r="Z233">
        <f t="shared" si="7"/>
        <v>9</v>
      </c>
    </row>
    <row r="234" spans="1:26" x14ac:dyDescent="0.25">
      <c r="A234" s="2" t="s">
        <v>757</v>
      </c>
      <c r="B234" s="8">
        <v>32</v>
      </c>
      <c r="C234" s="2" t="s">
        <v>25</v>
      </c>
      <c r="D234" s="8" t="s">
        <v>27</v>
      </c>
      <c r="E234" s="2">
        <v>22.5</v>
      </c>
      <c r="F234" s="2">
        <v>30</v>
      </c>
      <c r="G234" s="2">
        <v>43</v>
      </c>
      <c r="H234" s="2"/>
      <c r="I234" s="2">
        <v>74</v>
      </c>
      <c r="J234" s="2"/>
      <c r="K234" s="2">
        <v>31</v>
      </c>
      <c r="L234" s="2" t="s">
        <v>21</v>
      </c>
      <c r="M234" s="2">
        <v>1</v>
      </c>
      <c r="N234" s="2">
        <v>0</v>
      </c>
      <c r="O234" s="2">
        <v>2</v>
      </c>
      <c r="P234" s="2">
        <v>0</v>
      </c>
      <c r="Q234" s="2">
        <v>0</v>
      </c>
      <c r="R234" s="2">
        <v>4</v>
      </c>
      <c r="S234" s="2"/>
      <c r="T234" s="2"/>
      <c r="U234" s="2"/>
      <c r="V234" s="2"/>
      <c r="W234" s="2"/>
      <c r="X234" s="2"/>
      <c r="Y234">
        <f t="shared" si="6"/>
        <v>3</v>
      </c>
      <c r="Z234">
        <f t="shared" si="7"/>
        <v>1.3333333333333333</v>
      </c>
    </row>
    <row r="235" spans="1:26" x14ac:dyDescent="0.25">
      <c r="A235" s="2" t="s">
        <v>758</v>
      </c>
      <c r="B235" s="8">
        <v>33</v>
      </c>
      <c r="C235" s="2" t="s">
        <v>25</v>
      </c>
      <c r="D235" s="8" t="s">
        <v>27</v>
      </c>
      <c r="E235" s="2">
        <v>24</v>
      </c>
      <c r="F235" s="2">
        <v>30</v>
      </c>
      <c r="G235" s="2"/>
      <c r="H235" s="2"/>
      <c r="I235" s="2"/>
      <c r="J235" s="2"/>
      <c r="K235" s="2"/>
      <c r="L235" s="2">
        <v>590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>
        <f t="shared" si="6"/>
        <v>0</v>
      </c>
      <c r="Z235" t="e">
        <f t="shared" si="7"/>
        <v>#DIV/0!</v>
      </c>
    </row>
    <row r="236" spans="1:26" x14ac:dyDescent="0.25">
      <c r="A236" s="2" t="s">
        <v>759</v>
      </c>
      <c r="B236" s="8">
        <v>34</v>
      </c>
      <c r="C236" s="2" t="s">
        <v>25</v>
      </c>
      <c r="D236" s="8" t="s">
        <v>27</v>
      </c>
      <c r="E236" s="2">
        <v>22</v>
      </c>
      <c r="F236" s="2">
        <v>30</v>
      </c>
      <c r="G236" s="2">
        <v>101</v>
      </c>
      <c r="H236" s="2">
        <v>149</v>
      </c>
      <c r="I236" s="2">
        <v>76</v>
      </c>
      <c r="J236" s="2">
        <v>65</v>
      </c>
      <c r="K236" s="2">
        <v>37</v>
      </c>
      <c r="L236" s="2" t="s">
        <v>21</v>
      </c>
      <c r="M236" s="2">
        <v>2</v>
      </c>
      <c r="N236" s="2">
        <v>0</v>
      </c>
      <c r="O236" s="2">
        <v>3</v>
      </c>
      <c r="P236" s="2">
        <v>0</v>
      </c>
      <c r="Q236" s="2">
        <v>0</v>
      </c>
      <c r="R236" s="2">
        <v>13</v>
      </c>
      <c r="S236" s="2">
        <v>2</v>
      </c>
      <c r="T236" s="2">
        <v>0</v>
      </c>
      <c r="U236" s="2">
        <v>0</v>
      </c>
      <c r="V236" s="2">
        <v>1</v>
      </c>
      <c r="W236" s="2">
        <v>0</v>
      </c>
      <c r="X236" s="2">
        <v>23</v>
      </c>
      <c r="Y236">
        <f t="shared" si="6"/>
        <v>8</v>
      </c>
      <c r="Z236">
        <f t="shared" si="7"/>
        <v>4.5</v>
      </c>
    </row>
    <row r="237" spans="1:26" x14ac:dyDescent="0.25">
      <c r="A237" s="2" t="s">
        <v>760</v>
      </c>
      <c r="B237" s="8">
        <v>35</v>
      </c>
      <c r="C237" s="2" t="s">
        <v>25</v>
      </c>
      <c r="D237" s="8" t="s">
        <v>27</v>
      </c>
      <c r="E237" s="2">
        <v>20.5</v>
      </c>
      <c r="F237" s="2">
        <v>17</v>
      </c>
      <c r="G237" s="2">
        <v>28</v>
      </c>
      <c r="H237" s="2">
        <v>23</v>
      </c>
      <c r="I237" s="2">
        <v>53</v>
      </c>
      <c r="J237" s="2">
        <v>63</v>
      </c>
      <c r="K237" s="2">
        <v>33</v>
      </c>
      <c r="L237" s="2">
        <v>426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  <c r="T237" s="2">
        <v>1</v>
      </c>
      <c r="U237" s="2">
        <v>0</v>
      </c>
      <c r="V237" s="2">
        <v>0</v>
      </c>
      <c r="W237" s="2">
        <v>0</v>
      </c>
      <c r="X237" s="2">
        <v>3</v>
      </c>
      <c r="Y237">
        <f t="shared" si="6"/>
        <v>2</v>
      </c>
      <c r="Z237">
        <f t="shared" si="7"/>
        <v>2</v>
      </c>
    </row>
    <row r="238" spans="1:26" x14ac:dyDescent="0.25">
      <c r="A238" s="2" t="s">
        <v>761</v>
      </c>
      <c r="B238" s="8">
        <v>36</v>
      </c>
      <c r="C238" s="2" t="s">
        <v>25</v>
      </c>
      <c r="D238" s="8" t="s">
        <v>27</v>
      </c>
      <c r="E238" s="2">
        <v>24</v>
      </c>
      <c r="F238" s="2" t="s">
        <v>21</v>
      </c>
      <c r="G238" s="2">
        <v>19</v>
      </c>
      <c r="H238" s="2"/>
      <c r="I238" s="2">
        <v>57</v>
      </c>
      <c r="J238" s="2"/>
      <c r="K238" s="2">
        <v>36</v>
      </c>
      <c r="L238" s="2" t="s">
        <v>21</v>
      </c>
      <c r="M238" s="2">
        <v>0</v>
      </c>
      <c r="N238" s="2">
        <v>1</v>
      </c>
      <c r="O238" s="2">
        <v>0</v>
      </c>
      <c r="P238" s="2">
        <v>1</v>
      </c>
      <c r="Q238" s="2">
        <v>0</v>
      </c>
      <c r="R238" s="2">
        <v>4</v>
      </c>
      <c r="S238" s="2"/>
      <c r="T238" s="2"/>
      <c r="U238" s="2"/>
      <c r="V238" s="2"/>
      <c r="W238" s="2"/>
      <c r="X238" s="2"/>
      <c r="Y238">
        <f t="shared" si="6"/>
        <v>2</v>
      </c>
      <c r="Z238">
        <f t="shared" si="7"/>
        <v>2</v>
      </c>
    </row>
    <row r="239" spans="1:26" x14ac:dyDescent="0.25">
      <c r="A239" s="2" t="s">
        <v>764</v>
      </c>
      <c r="B239" s="8">
        <v>37</v>
      </c>
      <c r="C239" s="2" t="s">
        <v>25</v>
      </c>
      <c r="D239" s="8" t="s">
        <v>27</v>
      </c>
      <c r="E239" s="2">
        <v>19.5</v>
      </c>
      <c r="F239" s="2">
        <v>33</v>
      </c>
      <c r="G239" s="2">
        <v>79</v>
      </c>
      <c r="H239" s="2">
        <v>79</v>
      </c>
      <c r="I239" s="2">
        <v>57</v>
      </c>
      <c r="J239" s="2">
        <v>57</v>
      </c>
      <c r="K239" s="2">
        <v>34</v>
      </c>
      <c r="L239" s="2">
        <v>651</v>
      </c>
      <c r="M239" s="2">
        <v>0</v>
      </c>
      <c r="N239" s="2">
        <v>3</v>
      </c>
      <c r="O239" s="2">
        <v>1</v>
      </c>
      <c r="P239" s="2">
        <v>0</v>
      </c>
      <c r="Q239" s="2">
        <v>0</v>
      </c>
      <c r="R239" s="2">
        <v>6</v>
      </c>
      <c r="S239" s="2">
        <v>0</v>
      </c>
      <c r="T239" s="2">
        <v>3</v>
      </c>
      <c r="U239" s="2">
        <v>1</v>
      </c>
      <c r="V239" s="2">
        <v>0</v>
      </c>
      <c r="W239" s="2">
        <v>0</v>
      </c>
      <c r="X239" s="2">
        <v>6</v>
      </c>
      <c r="Y239">
        <f t="shared" si="6"/>
        <v>8</v>
      </c>
      <c r="Z239">
        <f t="shared" si="7"/>
        <v>1.5</v>
      </c>
    </row>
    <row r="240" spans="1:26" x14ac:dyDescent="0.25">
      <c r="A240" s="2" t="s">
        <v>765</v>
      </c>
      <c r="B240" s="8">
        <v>38</v>
      </c>
      <c r="C240" s="2" t="s">
        <v>25</v>
      </c>
      <c r="D240" s="8" t="s">
        <v>27</v>
      </c>
      <c r="E240" s="2">
        <v>19</v>
      </c>
      <c r="F240" s="2">
        <v>25</v>
      </c>
      <c r="G240" s="2"/>
      <c r="H240" s="2">
        <v>13</v>
      </c>
      <c r="I240" s="2"/>
      <c r="J240" s="2">
        <v>62</v>
      </c>
      <c r="K240" s="2">
        <v>32</v>
      </c>
      <c r="L240" s="2">
        <v>509</v>
      </c>
      <c r="M240" s="2"/>
      <c r="N240" s="2"/>
      <c r="O240" s="2"/>
      <c r="P240" s="2"/>
      <c r="Q240" s="2"/>
      <c r="R240" s="2"/>
      <c r="S240" s="2">
        <v>0</v>
      </c>
      <c r="T240" s="2">
        <v>1</v>
      </c>
      <c r="U240" s="2">
        <v>0</v>
      </c>
      <c r="V240" s="2">
        <v>0</v>
      </c>
      <c r="W240" s="2">
        <v>0</v>
      </c>
      <c r="X240" s="2">
        <v>2</v>
      </c>
      <c r="Y240">
        <f t="shared" si="6"/>
        <v>1</v>
      </c>
      <c r="Z240">
        <f t="shared" si="7"/>
        <v>2</v>
      </c>
    </row>
    <row r="241" spans="1:26" x14ac:dyDescent="0.25">
      <c r="A241" s="2" t="s">
        <v>766</v>
      </c>
      <c r="B241" s="8">
        <v>39</v>
      </c>
      <c r="C241" s="2" t="s">
        <v>25</v>
      </c>
      <c r="D241" s="8" t="s">
        <v>27</v>
      </c>
      <c r="E241" s="2">
        <v>21</v>
      </c>
      <c r="F241" s="2">
        <v>31</v>
      </c>
      <c r="G241" s="2">
        <v>51</v>
      </c>
      <c r="H241" s="2">
        <v>130</v>
      </c>
      <c r="I241" s="2">
        <v>68</v>
      </c>
      <c r="J241" s="2">
        <v>77</v>
      </c>
      <c r="K241" s="2">
        <v>32</v>
      </c>
      <c r="L241" s="2">
        <v>1965</v>
      </c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1</v>
      </c>
      <c r="T241" s="2">
        <v>1</v>
      </c>
      <c r="U241" s="2">
        <v>0</v>
      </c>
      <c r="V241" s="2">
        <v>0</v>
      </c>
      <c r="W241" s="2">
        <v>0</v>
      </c>
      <c r="X241" s="2">
        <v>14</v>
      </c>
      <c r="Y241">
        <f t="shared" si="6"/>
        <v>3</v>
      </c>
      <c r="Z241">
        <f t="shared" si="7"/>
        <v>5</v>
      </c>
    </row>
    <row r="242" spans="1:26" x14ac:dyDescent="0.25">
      <c r="A242" s="2" t="s">
        <v>767</v>
      </c>
      <c r="B242" s="8">
        <v>40</v>
      </c>
      <c r="C242" s="2" t="s">
        <v>25</v>
      </c>
      <c r="D242" s="8" t="s">
        <v>27</v>
      </c>
      <c r="E242" s="2">
        <v>18</v>
      </c>
      <c r="F242" s="2" t="s">
        <v>21</v>
      </c>
      <c r="G242" s="2">
        <v>25</v>
      </c>
      <c r="H242" s="2">
        <v>9</v>
      </c>
      <c r="I242" s="2">
        <v>63</v>
      </c>
      <c r="J242" s="2">
        <v>58</v>
      </c>
      <c r="K242" s="2">
        <v>33</v>
      </c>
      <c r="L242" s="2" t="s">
        <v>21</v>
      </c>
      <c r="M242" s="2">
        <v>0</v>
      </c>
      <c r="N242" s="2">
        <v>0</v>
      </c>
      <c r="O242" s="2">
        <v>1</v>
      </c>
      <c r="P242" s="2">
        <v>0</v>
      </c>
      <c r="Q242" s="2">
        <v>0</v>
      </c>
      <c r="R242" s="2">
        <v>2</v>
      </c>
      <c r="S242" s="2">
        <v>1</v>
      </c>
      <c r="T242" s="2">
        <v>0</v>
      </c>
      <c r="U242" s="2">
        <v>0</v>
      </c>
      <c r="V242" s="2">
        <v>0</v>
      </c>
      <c r="W242" s="2">
        <v>0</v>
      </c>
      <c r="X242" s="2">
        <v>3</v>
      </c>
      <c r="Y242">
        <f t="shared" si="6"/>
        <v>2</v>
      </c>
      <c r="Z242">
        <f t="shared" si="7"/>
        <v>2.5</v>
      </c>
    </row>
    <row r="243" spans="1:26" x14ac:dyDescent="0.25">
      <c r="A243" s="2" t="s">
        <v>729</v>
      </c>
      <c r="B243" s="8" t="s">
        <v>730</v>
      </c>
      <c r="C243" s="2" t="s">
        <v>25</v>
      </c>
      <c r="D243" s="8" t="s">
        <v>27</v>
      </c>
      <c r="E243" s="2">
        <v>25</v>
      </c>
      <c r="F243" s="2">
        <v>26</v>
      </c>
      <c r="G243" s="2"/>
      <c r="H243" s="2"/>
      <c r="I243" s="2"/>
      <c r="J243" s="2"/>
      <c r="K243" s="2">
        <v>31</v>
      </c>
      <c r="L243" s="2">
        <v>1143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>
        <f t="shared" si="6"/>
        <v>0</v>
      </c>
      <c r="Z243" t="e">
        <f t="shared" si="7"/>
        <v>#DIV/0!</v>
      </c>
    </row>
    <row r="244" spans="1:26" x14ac:dyDescent="0.25">
      <c r="A244" s="2" t="s">
        <v>438</v>
      </c>
      <c r="B244" s="8">
        <v>41</v>
      </c>
      <c r="C244" s="2" t="s">
        <v>22</v>
      </c>
      <c r="D244" s="8" t="s">
        <v>28</v>
      </c>
      <c r="E244" s="2">
        <v>17</v>
      </c>
      <c r="F244" s="2">
        <v>19</v>
      </c>
      <c r="G244" s="2">
        <v>25</v>
      </c>
      <c r="H244" s="2"/>
      <c r="I244" s="2">
        <v>62</v>
      </c>
      <c r="J244" s="2"/>
      <c r="K244" s="2">
        <v>35</v>
      </c>
      <c r="L244" s="2" t="s">
        <v>21</v>
      </c>
      <c r="M244" s="2">
        <v>0</v>
      </c>
      <c r="N244" s="2">
        <v>1</v>
      </c>
      <c r="O244" s="2">
        <v>1</v>
      </c>
      <c r="P244" s="2">
        <v>0</v>
      </c>
      <c r="Q244" s="2">
        <v>0</v>
      </c>
      <c r="R244" s="2">
        <v>2</v>
      </c>
      <c r="S244" s="2"/>
      <c r="T244" s="2"/>
      <c r="U244" s="2"/>
      <c r="V244" s="2"/>
      <c r="W244" s="2"/>
      <c r="X244" s="2"/>
      <c r="Y244">
        <f t="shared" si="6"/>
        <v>2</v>
      </c>
      <c r="Z244">
        <f t="shared" si="7"/>
        <v>1</v>
      </c>
    </row>
    <row r="245" spans="1:26" x14ac:dyDescent="0.25">
      <c r="A245" s="2" t="s">
        <v>439</v>
      </c>
      <c r="B245" s="8">
        <v>42</v>
      </c>
      <c r="C245" s="2" t="s">
        <v>22</v>
      </c>
      <c r="D245" s="8" t="s">
        <v>28</v>
      </c>
      <c r="E245" s="2">
        <v>18.5</v>
      </c>
      <c r="F245" s="2">
        <v>14</v>
      </c>
      <c r="G245" s="2">
        <v>24</v>
      </c>
      <c r="H245" s="2">
        <v>26</v>
      </c>
      <c r="I245" s="2">
        <v>68</v>
      </c>
      <c r="J245" s="2">
        <v>72</v>
      </c>
      <c r="K245" s="2">
        <v>31</v>
      </c>
      <c r="L245" s="2">
        <v>364</v>
      </c>
      <c r="M245" s="2">
        <v>0</v>
      </c>
      <c r="N245" s="2">
        <v>0</v>
      </c>
      <c r="O245" s="2">
        <v>1</v>
      </c>
      <c r="P245" s="2">
        <v>0</v>
      </c>
      <c r="Q245" s="2">
        <v>0</v>
      </c>
      <c r="R245" s="2">
        <v>1</v>
      </c>
      <c r="S245" s="2">
        <v>1</v>
      </c>
      <c r="T245" s="2">
        <v>1</v>
      </c>
      <c r="U245" s="2">
        <v>0</v>
      </c>
      <c r="V245" s="2">
        <v>0</v>
      </c>
      <c r="W245" s="2">
        <v>0</v>
      </c>
      <c r="X245" s="2">
        <v>4</v>
      </c>
      <c r="Y245">
        <f t="shared" si="6"/>
        <v>3</v>
      </c>
      <c r="Z245">
        <f t="shared" si="7"/>
        <v>1.6666666666666667</v>
      </c>
    </row>
    <row r="246" spans="1:26" x14ac:dyDescent="0.25">
      <c r="A246" s="2" t="s">
        <v>440</v>
      </c>
      <c r="B246" s="8">
        <v>43</v>
      </c>
      <c r="C246" s="2" t="s">
        <v>22</v>
      </c>
      <c r="D246" s="8" t="s">
        <v>28</v>
      </c>
      <c r="E246" s="2">
        <v>15</v>
      </c>
      <c r="F246" s="2" t="s">
        <v>21</v>
      </c>
      <c r="G246" s="2">
        <v>24</v>
      </c>
      <c r="H246" s="2"/>
      <c r="I246" s="2">
        <v>47</v>
      </c>
      <c r="J246" s="2"/>
      <c r="K246" s="2">
        <v>31</v>
      </c>
      <c r="L246" s="2" t="s">
        <v>21</v>
      </c>
      <c r="M246" s="2">
        <v>0</v>
      </c>
      <c r="N246" s="2">
        <v>2</v>
      </c>
      <c r="O246" s="2">
        <v>0</v>
      </c>
      <c r="P246" s="2">
        <v>0</v>
      </c>
      <c r="Q246" s="2">
        <v>0</v>
      </c>
      <c r="R246" s="2">
        <v>5</v>
      </c>
      <c r="S246" s="2"/>
      <c r="T246" s="2"/>
      <c r="U246" s="2"/>
      <c r="V246" s="2"/>
      <c r="W246" s="2"/>
      <c r="X246" s="2"/>
      <c r="Y246">
        <f t="shared" si="6"/>
        <v>2</v>
      </c>
      <c r="Z246">
        <f t="shared" si="7"/>
        <v>2.5</v>
      </c>
    </row>
    <row r="247" spans="1:26" x14ac:dyDescent="0.25">
      <c r="A247" s="2" t="s">
        <v>441</v>
      </c>
      <c r="B247" s="8">
        <v>44</v>
      </c>
      <c r="C247" s="2" t="s">
        <v>22</v>
      </c>
      <c r="D247" s="8" t="s">
        <v>28</v>
      </c>
      <c r="E247" s="2">
        <v>18.5</v>
      </c>
      <c r="F247" s="2" t="s">
        <v>21</v>
      </c>
      <c r="G247" s="2">
        <v>31</v>
      </c>
      <c r="H247" s="2"/>
      <c r="I247" s="2">
        <v>71</v>
      </c>
      <c r="J247" s="2"/>
      <c r="K247" s="2">
        <v>30</v>
      </c>
      <c r="L247" s="2" t="s">
        <v>21</v>
      </c>
      <c r="M247" s="2">
        <v>3</v>
      </c>
      <c r="N247" s="2">
        <v>0</v>
      </c>
      <c r="O247" s="2">
        <v>0</v>
      </c>
      <c r="P247" s="2">
        <v>0</v>
      </c>
      <c r="Q247" s="2">
        <v>0</v>
      </c>
      <c r="R247" s="2">
        <v>12</v>
      </c>
      <c r="S247" s="2"/>
      <c r="T247" s="2"/>
      <c r="U247" s="2"/>
      <c r="V247" s="2"/>
      <c r="W247" s="2"/>
      <c r="X247" s="2"/>
      <c r="Y247">
        <f t="shared" si="6"/>
        <v>3</v>
      </c>
      <c r="Z247">
        <f t="shared" si="7"/>
        <v>4</v>
      </c>
    </row>
    <row r="248" spans="1:26" x14ac:dyDescent="0.25">
      <c r="A248" s="2" t="s">
        <v>442</v>
      </c>
      <c r="B248" s="8">
        <v>45</v>
      </c>
      <c r="C248" s="2" t="s">
        <v>22</v>
      </c>
      <c r="D248" s="8" t="s">
        <v>28</v>
      </c>
      <c r="E248" s="2">
        <v>20</v>
      </c>
      <c r="F248" s="2">
        <v>19</v>
      </c>
      <c r="G248" s="2">
        <v>42</v>
      </c>
      <c r="H248" s="2">
        <v>37</v>
      </c>
      <c r="I248" s="2">
        <v>52</v>
      </c>
      <c r="J248" s="2">
        <v>63</v>
      </c>
      <c r="K248" s="2">
        <v>30</v>
      </c>
      <c r="L248" s="2">
        <v>953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6</v>
      </c>
      <c r="S248" s="2">
        <v>2</v>
      </c>
      <c r="T248" s="2">
        <v>0</v>
      </c>
      <c r="U248" s="2">
        <v>0</v>
      </c>
      <c r="V248" s="2">
        <v>0</v>
      </c>
      <c r="W248" s="2">
        <v>0</v>
      </c>
      <c r="X248" s="2">
        <v>7</v>
      </c>
      <c r="Y248">
        <f t="shared" si="6"/>
        <v>3</v>
      </c>
      <c r="Z248">
        <f t="shared" si="7"/>
        <v>4.333333333333333</v>
      </c>
    </row>
    <row r="249" spans="1:26" x14ac:dyDescent="0.25">
      <c r="A249" s="2" t="s">
        <v>443</v>
      </c>
      <c r="B249" s="8">
        <v>46</v>
      </c>
      <c r="C249" s="2" t="s">
        <v>22</v>
      </c>
      <c r="D249" s="8" t="s">
        <v>28</v>
      </c>
      <c r="E249" s="2">
        <v>16</v>
      </c>
      <c r="F249" s="2">
        <v>15</v>
      </c>
      <c r="G249" s="2">
        <v>29</v>
      </c>
      <c r="H249" s="2">
        <v>42</v>
      </c>
      <c r="I249" s="2">
        <v>60</v>
      </c>
      <c r="J249" s="2">
        <v>60</v>
      </c>
      <c r="K249" s="2">
        <v>32</v>
      </c>
      <c r="L249" s="2" t="s">
        <v>21</v>
      </c>
      <c r="M249" s="2">
        <v>2</v>
      </c>
      <c r="N249" s="2">
        <v>0</v>
      </c>
      <c r="O249" s="2">
        <v>0</v>
      </c>
      <c r="P249" s="2">
        <v>0</v>
      </c>
      <c r="Q249" s="2">
        <v>0</v>
      </c>
      <c r="R249" s="2">
        <v>5</v>
      </c>
      <c r="S249" s="2">
        <v>0</v>
      </c>
      <c r="T249" s="2">
        <v>4</v>
      </c>
      <c r="U249" s="2">
        <v>2</v>
      </c>
      <c r="V249" s="2">
        <v>0</v>
      </c>
      <c r="W249" s="2">
        <v>0</v>
      </c>
      <c r="X249" s="2">
        <v>35</v>
      </c>
      <c r="Y249">
        <f t="shared" si="6"/>
        <v>8</v>
      </c>
      <c r="Z249">
        <f t="shared" si="7"/>
        <v>5</v>
      </c>
    </row>
    <row r="250" spans="1:26" x14ac:dyDescent="0.25">
      <c r="A250" s="2" t="s">
        <v>444</v>
      </c>
      <c r="B250" s="8">
        <v>47</v>
      </c>
      <c r="C250" s="2" t="s">
        <v>22</v>
      </c>
      <c r="D250" s="8" t="s">
        <v>28</v>
      </c>
      <c r="E250" s="2">
        <v>15</v>
      </c>
      <c r="F250" s="2" t="s">
        <v>21</v>
      </c>
      <c r="G250" s="2"/>
      <c r="H250" s="2"/>
      <c r="I250" s="2"/>
      <c r="J250" s="2"/>
      <c r="K250" s="2">
        <v>36</v>
      </c>
      <c r="L250" s="2" t="s">
        <v>21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>
        <f t="shared" si="6"/>
        <v>0</v>
      </c>
      <c r="Z250" t="e">
        <f t="shared" si="7"/>
        <v>#DIV/0!</v>
      </c>
    </row>
    <row r="251" spans="1:26" x14ac:dyDescent="0.25">
      <c r="A251" s="2" t="s">
        <v>445</v>
      </c>
      <c r="B251" s="8">
        <v>48</v>
      </c>
      <c r="C251" s="2" t="s">
        <v>22</v>
      </c>
      <c r="D251" s="8" t="s">
        <v>28</v>
      </c>
      <c r="E251" s="2">
        <v>17</v>
      </c>
      <c r="F251" s="2">
        <v>17</v>
      </c>
      <c r="G251" s="2">
        <v>25</v>
      </c>
      <c r="H251" s="2">
        <v>36</v>
      </c>
      <c r="I251" s="2">
        <v>57</v>
      </c>
      <c r="J251" s="2">
        <v>65</v>
      </c>
      <c r="K251" s="2">
        <v>30</v>
      </c>
      <c r="L251" s="2">
        <v>9196</v>
      </c>
      <c r="M251" s="2">
        <v>1</v>
      </c>
      <c r="N251" s="2">
        <v>0</v>
      </c>
      <c r="O251" s="2">
        <v>0</v>
      </c>
      <c r="P251" s="2">
        <v>2</v>
      </c>
      <c r="Q251" s="2">
        <v>0</v>
      </c>
      <c r="R251" s="2">
        <v>13</v>
      </c>
      <c r="S251" s="2">
        <v>1</v>
      </c>
      <c r="T251" s="2">
        <v>1</v>
      </c>
      <c r="U251" s="2">
        <v>1</v>
      </c>
      <c r="V251" s="2">
        <v>0</v>
      </c>
      <c r="W251" s="2">
        <v>0</v>
      </c>
      <c r="X251" s="2">
        <v>26</v>
      </c>
      <c r="Y251">
        <f t="shared" si="6"/>
        <v>6</v>
      </c>
      <c r="Z251">
        <f t="shared" si="7"/>
        <v>6.5</v>
      </c>
    </row>
    <row r="252" spans="1:26" x14ac:dyDescent="0.25">
      <c r="A252" s="2" t="s">
        <v>446</v>
      </c>
      <c r="B252" s="8">
        <v>49</v>
      </c>
      <c r="C252" s="2" t="s">
        <v>22</v>
      </c>
      <c r="D252" s="8" t="s">
        <v>28</v>
      </c>
      <c r="E252" s="2">
        <v>15</v>
      </c>
      <c r="F252" s="2">
        <v>15</v>
      </c>
      <c r="G252" s="2">
        <v>46</v>
      </c>
      <c r="H252" s="2">
        <v>30</v>
      </c>
      <c r="I252" s="2">
        <v>54</v>
      </c>
      <c r="J252" s="2">
        <v>64</v>
      </c>
      <c r="K252" s="2">
        <v>30</v>
      </c>
      <c r="L252" s="2">
        <v>5120</v>
      </c>
      <c r="M252" s="2">
        <v>1</v>
      </c>
      <c r="N252" s="2">
        <v>0</v>
      </c>
      <c r="O252" s="2">
        <v>0</v>
      </c>
      <c r="P252" s="2">
        <v>0</v>
      </c>
      <c r="Q252" s="2">
        <v>0</v>
      </c>
      <c r="R252" s="2">
        <v>3</v>
      </c>
      <c r="S252" s="2">
        <v>2</v>
      </c>
      <c r="T252" s="2">
        <v>1</v>
      </c>
      <c r="U252" s="2">
        <v>0</v>
      </c>
      <c r="V252" s="2">
        <v>0</v>
      </c>
      <c r="W252" s="2">
        <v>0</v>
      </c>
      <c r="X252" s="2">
        <v>6</v>
      </c>
      <c r="Y252">
        <f t="shared" si="6"/>
        <v>4</v>
      </c>
      <c r="Z252">
        <f t="shared" si="7"/>
        <v>2.25</v>
      </c>
    </row>
    <row r="253" spans="1:26" x14ac:dyDescent="0.25">
      <c r="A253" s="2" t="s">
        <v>447</v>
      </c>
      <c r="B253" s="8">
        <v>50</v>
      </c>
      <c r="C253" s="2" t="s">
        <v>22</v>
      </c>
      <c r="D253" s="8" t="s">
        <v>28</v>
      </c>
      <c r="E253" s="2">
        <v>14</v>
      </c>
      <c r="F253" s="2">
        <v>14</v>
      </c>
      <c r="G253" s="2">
        <v>20</v>
      </c>
      <c r="H253" s="2">
        <v>33</v>
      </c>
      <c r="I253" s="2">
        <v>50</v>
      </c>
      <c r="J253" s="2">
        <v>57</v>
      </c>
      <c r="K253" s="2">
        <v>32</v>
      </c>
      <c r="L253" s="2">
        <v>10210</v>
      </c>
      <c r="M253" s="2">
        <v>0</v>
      </c>
      <c r="N253" s="2">
        <v>0</v>
      </c>
      <c r="O253" s="2">
        <v>1</v>
      </c>
      <c r="P253" s="2">
        <v>0</v>
      </c>
      <c r="Q253" s="2">
        <v>0</v>
      </c>
      <c r="R253" s="2">
        <v>6</v>
      </c>
      <c r="S253" s="2">
        <v>2</v>
      </c>
      <c r="T253" s="2">
        <v>0</v>
      </c>
      <c r="U253" s="2">
        <v>0</v>
      </c>
      <c r="V253" s="2">
        <v>0</v>
      </c>
      <c r="W253" s="2">
        <v>0</v>
      </c>
      <c r="X253" s="2">
        <v>41</v>
      </c>
      <c r="Y253">
        <f t="shared" si="6"/>
        <v>3</v>
      </c>
      <c r="Z253">
        <f t="shared" si="7"/>
        <v>15.666666666666666</v>
      </c>
    </row>
    <row r="254" spans="1:26" x14ac:dyDescent="0.25">
      <c r="A254" s="2" t="s">
        <v>448</v>
      </c>
      <c r="B254" s="8">
        <v>51</v>
      </c>
      <c r="C254" s="2" t="s">
        <v>22</v>
      </c>
      <c r="D254" s="8" t="s">
        <v>28</v>
      </c>
      <c r="E254" s="2">
        <v>18</v>
      </c>
      <c r="F254" s="2">
        <v>28</v>
      </c>
      <c r="G254" s="2">
        <v>27</v>
      </c>
      <c r="H254" s="2">
        <v>45</v>
      </c>
      <c r="I254" s="2">
        <v>47</v>
      </c>
      <c r="J254" s="2">
        <v>62</v>
      </c>
      <c r="K254" s="2">
        <v>29</v>
      </c>
      <c r="L254" s="2" t="s">
        <v>21</v>
      </c>
      <c r="M254" s="2">
        <v>2</v>
      </c>
      <c r="N254" s="2">
        <v>0</v>
      </c>
      <c r="O254" s="2">
        <v>0</v>
      </c>
      <c r="P254" s="2">
        <v>0</v>
      </c>
      <c r="Q254" s="2">
        <v>0</v>
      </c>
      <c r="R254" s="2">
        <v>9</v>
      </c>
      <c r="S254" s="2">
        <v>2</v>
      </c>
      <c r="T254" s="2">
        <v>0</v>
      </c>
      <c r="U254" s="2">
        <v>0</v>
      </c>
      <c r="V254" s="2">
        <v>0</v>
      </c>
      <c r="W254" s="2">
        <v>0</v>
      </c>
      <c r="X254" s="2">
        <v>10</v>
      </c>
      <c r="Y254">
        <f t="shared" si="6"/>
        <v>4</v>
      </c>
      <c r="Z254">
        <f t="shared" si="7"/>
        <v>4.75</v>
      </c>
    </row>
    <row r="255" spans="1:26" x14ac:dyDescent="0.25">
      <c r="A255" s="2" t="s">
        <v>449</v>
      </c>
      <c r="B255" s="8">
        <v>52</v>
      </c>
      <c r="C255" s="2" t="s">
        <v>22</v>
      </c>
      <c r="D255" s="8" t="s">
        <v>28</v>
      </c>
      <c r="E255" s="2">
        <v>12.5</v>
      </c>
      <c r="F255" s="2">
        <v>18</v>
      </c>
      <c r="G255" s="2">
        <v>7</v>
      </c>
      <c r="H255" s="2">
        <v>67</v>
      </c>
      <c r="I255" s="2">
        <v>39</v>
      </c>
      <c r="J255" s="2">
        <v>45</v>
      </c>
      <c r="K255" s="2">
        <v>34</v>
      </c>
      <c r="L255" s="2" t="s">
        <v>21</v>
      </c>
      <c r="M255" s="2">
        <v>1</v>
      </c>
      <c r="N255" s="2">
        <v>0</v>
      </c>
      <c r="O255" s="2">
        <v>1</v>
      </c>
      <c r="P255" s="2">
        <v>0</v>
      </c>
      <c r="Q255" s="2">
        <v>0</v>
      </c>
      <c r="R255" s="2">
        <v>3</v>
      </c>
      <c r="S255" s="2">
        <v>1</v>
      </c>
      <c r="T255" s="2">
        <v>1</v>
      </c>
      <c r="U255" s="2">
        <v>0</v>
      </c>
      <c r="V255" s="2">
        <v>0</v>
      </c>
      <c r="W255" s="2">
        <v>0</v>
      </c>
      <c r="X255" s="2">
        <v>89</v>
      </c>
      <c r="Y255">
        <f t="shared" si="6"/>
        <v>4</v>
      </c>
      <c r="Z255">
        <f t="shared" si="7"/>
        <v>23</v>
      </c>
    </row>
    <row r="256" spans="1:26" x14ac:dyDescent="0.25">
      <c r="A256" s="2" t="s">
        <v>450</v>
      </c>
      <c r="B256" s="8">
        <v>53</v>
      </c>
      <c r="C256" s="2" t="s">
        <v>22</v>
      </c>
      <c r="D256" s="8" t="s">
        <v>28</v>
      </c>
      <c r="E256" s="2">
        <v>16</v>
      </c>
      <c r="F256" s="2">
        <v>10</v>
      </c>
      <c r="G256" s="2">
        <v>25</v>
      </c>
      <c r="H256" s="2">
        <v>15</v>
      </c>
      <c r="I256" s="2">
        <v>57</v>
      </c>
      <c r="J256" s="2">
        <v>61</v>
      </c>
      <c r="K256" s="2">
        <v>32</v>
      </c>
      <c r="L256" s="2" t="s">
        <v>21</v>
      </c>
      <c r="M256" s="2">
        <v>3</v>
      </c>
      <c r="N256" s="2">
        <v>1</v>
      </c>
      <c r="O256" s="2">
        <v>0</v>
      </c>
      <c r="P256" s="2">
        <v>0</v>
      </c>
      <c r="Q256" s="2">
        <v>0</v>
      </c>
      <c r="R256" s="2">
        <v>29</v>
      </c>
      <c r="S256" s="2">
        <v>1</v>
      </c>
      <c r="T256" s="2">
        <v>0</v>
      </c>
      <c r="U256" s="2">
        <v>0</v>
      </c>
      <c r="V256" s="2">
        <v>0</v>
      </c>
      <c r="W256" s="2">
        <v>0</v>
      </c>
      <c r="X256" s="2">
        <v>7</v>
      </c>
      <c r="Y256">
        <f t="shared" si="6"/>
        <v>5</v>
      </c>
      <c r="Z256">
        <f t="shared" si="7"/>
        <v>7.2</v>
      </c>
    </row>
    <row r="257" spans="1:26" x14ac:dyDescent="0.25">
      <c r="A257" s="2" t="s">
        <v>451</v>
      </c>
      <c r="B257" s="8">
        <v>54</v>
      </c>
      <c r="C257" s="2" t="s">
        <v>22</v>
      </c>
      <c r="D257" s="8" t="s">
        <v>28</v>
      </c>
      <c r="E257" s="2">
        <v>16</v>
      </c>
      <c r="F257" s="2" t="s">
        <v>21</v>
      </c>
      <c r="G257" s="2">
        <v>20</v>
      </c>
      <c r="H257" s="2"/>
      <c r="I257" s="2">
        <v>45</v>
      </c>
      <c r="J257" s="2"/>
      <c r="K257" s="2">
        <v>30</v>
      </c>
      <c r="L257" s="2" t="s">
        <v>21</v>
      </c>
      <c r="M257" s="2">
        <v>2</v>
      </c>
      <c r="N257" s="2">
        <v>0</v>
      </c>
      <c r="O257" s="2">
        <v>0</v>
      </c>
      <c r="P257" s="2">
        <v>0</v>
      </c>
      <c r="Q257" s="2">
        <v>0</v>
      </c>
      <c r="R257" s="2">
        <v>2</v>
      </c>
      <c r="S257" s="2"/>
      <c r="T257" s="2"/>
      <c r="U257" s="2"/>
      <c r="V257" s="2"/>
      <c r="W257" s="2"/>
      <c r="X257" s="2"/>
      <c r="Y257">
        <f t="shared" si="6"/>
        <v>2</v>
      </c>
      <c r="Z257">
        <f t="shared" si="7"/>
        <v>1</v>
      </c>
    </row>
    <row r="258" spans="1:26" x14ac:dyDescent="0.25">
      <c r="A258" s="2" t="s">
        <v>452</v>
      </c>
      <c r="B258" s="8">
        <v>55</v>
      </c>
      <c r="C258" s="2" t="s">
        <v>22</v>
      </c>
      <c r="D258" s="8" t="s">
        <v>28</v>
      </c>
      <c r="E258" s="2">
        <v>14</v>
      </c>
      <c r="F258" s="13" t="s">
        <v>21</v>
      </c>
      <c r="G258" s="2">
        <v>13</v>
      </c>
      <c r="H258" s="2"/>
      <c r="I258" s="2">
        <v>37</v>
      </c>
      <c r="J258" s="2"/>
      <c r="K258" s="2">
        <v>37</v>
      </c>
      <c r="L258" s="2" t="s">
        <v>21</v>
      </c>
      <c r="M258" s="2">
        <v>2</v>
      </c>
      <c r="N258" s="2">
        <v>0</v>
      </c>
      <c r="O258" s="2">
        <v>1</v>
      </c>
      <c r="P258" s="2">
        <v>0</v>
      </c>
      <c r="Q258" s="2">
        <v>0</v>
      </c>
      <c r="R258" s="2">
        <v>4</v>
      </c>
      <c r="S258" s="2"/>
      <c r="T258" s="2"/>
      <c r="U258" s="2"/>
      <c r="V258" s="2"/>
      <c r="W258" s="2"/>
      <c r="X258" s="2"/>
      <c r="Y258">
        <f t="shared" si="6"/>
        <v>3</v>
      </c>
      <c r="Z258">
        <f t="shared" si="7"/>
        <v>1.3333333333333333</v>
      </c>
    </row>
    <row r="259" spans="1:26" x14ac:dyDescent="0.25">
      <c r="A259" s="2" t="s">
        <v>453</v>
      </c>
      <c r="B259" s="8">
        <v>56</v>
      </c>
      <c r="C259" s="2" t="s">
        <v>22</v>
      </c>
      <c r="D259" s="8" t="s">
        <v>28</v>
      </c>
      <c r="E259" s="2">
        <v>16.5</v>
      </c>
      <c r="F259" s="2">
        <v>16</v>
      </c>
      <c r="G259" s="2">
        <v>28</v>
      </c>
      <c r="H259" s="2">
        <v>59</v>
      </c>
      <c r="I259" s="2">
        <v>52</v>
      </c>
      <c r="J259" s="2">
        <v>59</v>
      </c>
      <c r="K259" s="2">
        <v>33</v>
      </c>
      <c r="L259" s="2" t="s">
        <v>21</v>
      </c>
      <c r="M259" s="2">
        <v>1</v>
      </c>
      <c r="N259" s="2">
        <v>1</v>
      </c>
      <c r="O259" s="2">
        <v>0</v>
      </c>
      <c r="P259" s="2">
        <v>0</v>
      </c>
      <c r="Q259" s="2">
        <v>0</v>
      </c>
      <c r="R259" s="2">
        <v>6</v>
      </c>
      <c r="S259" s="2">
        <v>3</v>
      </c>
      <c r="T259" s="2">
        <v>0</v>
      </c>
      <c r="U259" s="2">
        <v>1</v>
      </c>
      <c r="V259" s="2">
        <v>0</v>
      </c>
      <c r="W259" s="2">
        <v>0</v>
      </c>
      <c r="X259" s="2">
        <v>29</v>
      </c>
      <c r="Y259">
        <f t="shared" ref="Y259:Y322" si="8">SUM(M259:Q259,S259:W259)</f>
        <v>6</v>
      </c>
      <c r="Z259">
        <f t="shared" ref="Z259:Z322" si="9">(R259+X259) / (SUM(M259:Q259) + (SUM(S259:W259)))</f>
        <v>5.833333333333333</v>
      </c>
    </row>
    <row r="260" spans="1:26" x14ac:dyDescent="0.25">
      <c r="A260" s="2" t="s">
        <v>454</v>
      </c>
      <c r="B260" s="8">
        <v>57</v>
      </c>
      <c r="C260" s="2" t="s">
        <v>22</v>
      </c>
      <c r="D260" s="8" t="s">
        <v>28</v>
      </c>
      <c r="E260" s="2">
        <v>15.5</v>
      </c>
      <c r="F260" s="2" t="s">
        <v>21</v>
      </c>
      <c r="G260" s="13">
        <v>30</v>
      </c>
      <c r="H260" s="2">
        <v>46</v>
      </c>
      <c r="I260" s="13">
        <v>38</v>
      </c>
      <c r="J260" s="2">
        <v>40</v>
      </c>
      <c r="K260" s="2">
        <v>28</v>
      </c>
      <c r="L260" s="2" t="s">
        <v>21</v>
      </c>
      <c r="M260" s="13">
        <v>1</v>
      </c>
      <c r="N260" s="13">
        <v>0</v>
      </c>
      <c r="O260" s="13">
        <v>0</v>
      </c>
      <c r="P260" s="13">
        <v>0</v>
      </c>
      <c r="Q260" s="13">
        <v>0</v>
      </c>
      <c r="R260" s="13">
        <v>4</v>
      </c>
      <c r="S260" s="2">
        <v>3</v>
      </c>
      <c r="T260" s="2">
        <v>0</v>
      </c>
      <c r="U260" s="2">
        <v>0</v>
      </c>
      <c r="V260" s="2">
        <v>0</v>
      </c>
      <c r="W260" s="2">
        <v>0</v>
      </c>
      <c r="X260" s="2">
        <v>8</v>
      </c>
      <c r="Y260">
        <f t="shared" si="8"/>
        <v>4</v>
      </c>
      <c r="Z260">
        <f t="shared" si="9"/>
        <v>3</v>
      </c>
    </row>
    <row r="261" spans="1:26" x14ac:dyDescent="0.25">
      <c r="A261" s="2" t="s">
        <v>455</v>
      </c>
      <c r="B261" s="8">
        <v>58</v>
      </c>
      <c r="C261" s="2" t="s">
        <v>22</v>
      </c>
      <c r="D261" s="8" t="s">
        <v>28</v>
      </c>
      <c r="E261" s="2">
        <v>15.5</v>
      </c>
      <c r="F261" s="2">
        <v>14</v>
      </c>
      <c r="G261" s="2">
        <v>19</v>
      </c>
      <c r="H261" s="2">
        <v>11</v>
      </c>
      <c r="I261" s="2">
        <v>49</v>
      </c>
      <c r="J261" s="2">
        <v>55</v>
      </c>
      <c r="K261" s="2">
        <v>31</v>
      </c>
      <c r="L261" s="2">
        <v>233</v>
      </c>
      <c r="M261" s="2">
        <v>2</v>
      </c>
      <c r="N261" s="2">
        <v>0</v>
      </c>
      <c r="O261" s="2">
        <v>0</v>
      </c>
      <c r="P261" s="2">
        <v>0</v>
      </c>
      <c r="Q261" s="2">
        <v>0</v>
      </c>
      <c r="R261" s="2">
        <v>4</v>
      </c>
      <c r="S261" s="2">
        <v>0</v>
      </c>
      <c r="T261" s="2">
        <v>1</v>
      </c>
      <c r="U261" s="2">
        <v>0</v>
      </c>
      <c r="V261" s="2">
        <v>0</v>
      </c>
      <c r="W261" s="2">
        <v>0</v>
      </c>
      <c r="X261" s="2">
        <v>1</v>
      </c>
      <c r="Y261">
        <f t="shared" si="8"/>
        <v>3</v>
      </c>
      <c r="Z261">
        <f t="shared" si="9"/>
        <v>1.6666666666666667</v>
      </c>
    </row>
    <row r="262" spans="1:26" x14ac:dyDescent="0.25">
      <c r="A262" s="2" t="s">
        <v>456</v>
      </c>
      <c r="B262" s="8">
        <v>59</v>
      </c>
      <c r="C262" s="2" t="s">
        <v>22</v>
      </c>
      <c r="D262" s="8" t="s">
        <v>28</v>
      </c>
      <c r="E262" s="2">
        <v>21</v>
      </c>
      <c r="F262" s="2">
        <v>25</v>
      </c>
      <c r="G262" s="2">
        <v>28</v>
      </c>
      <c r="H262" s="2">
        <v>78</v>
      </c>
      <c r="I262" s="2">
        <v>40</v>
      </c>
      <c r="J262" s="2">
        <v>52</v>
      </c>
      <c r="K262" s="2">
        <v>37</v>
      </c>
      <c r="L262" s="2" t="s">
        <v>21</v>
      </c>
      <c r="M262" s="2">
        <v>1</v>
      </c>
      <c r="N262" s="2">
        <v>0</v>
      </c>
      <c r="O262" s="2">
        <v>0</v>
      </c>
      <c r="P262" s="2">
        <v>0</v>
      </c>
      <c r="Q262" s="2">
        <v>0</v>
      </c>
      <c r="R262" s="2">
        <v>4</v>
      </c>
      <c r="S262" s="2">
        <v>1</v>
      </c>
      <c r="T262" s="2">
        <v>0</v>
      </c>
      <c r="U262" s="2">
        <v>3</v>
      </c>
      <c r="V262" s="2">
        <v>1</v>
      </c>
      <c r="W262" s="2">
        <v>0</v>
      </c>
      <c r="X262" s="2">
        <v>50</v>
      </c>
      <c r="Y262">
        <f t="shared" si="8"/>
        <v>6</v>
      </c>
      <c r="Z262">
        <f t="shared" si="9"/>
        <v>9</v>
      </c>
    </row>
    <row r="263" spans="1:26" x14ac:dyDescent="0.25">
      <c r="A263" s="2" t="s">
        <v>457</v>
      </c>
      <c r="B263" s="8">
        <v>60</v>
      </c>
      <c r="C263" s="2" t="s">
        <v>22</v>
      </c>
      <c r="D263" s="8" t="s">
        <v>28</v>
      </c>
      <c r="E263" s="2">
        <v>14</v>
      </c>
      <c r="F263" s="2">
        <v>14</v>
      </c>
      <c r="G263" s="2">
        <v>32</v>
      </c>
      <c r="H263" s="2"/>
      <c r="I263" s="2">
        <v>50</v>
      </c>
      <c r="J263" s="2"/>
      <c r="K263" s="2">
        <v>32</v>
      </c>
      <c r="L263" s="2" t="s">
        <v>21</v>
      </c>
      <c r="M263" s="2">
        <v>4</v>
      </c>
      <c r="N263" s="2">
        <v>0</v>
      </c>
      <c r="O263" s="2">
        <v>0</v>
      </c>
      <c r="P263" s="2">
        <v>0</v>
      </c>
      <c r="Q263" s="2">
        <v>0</v>
      </c>
      <c r="R263" s="2">
        <v>10</v>
      </c>
      <c r="S263" s="2"/>
      <c r="T263" s="2"/>
      <c r="U263" s="2"/>
      <c r="V263" s="2"/>
      <c r="W263" s="2"/>
      <c r="X263" s="2"/>
      <c r="Y263">
        <f t="shared" si="8"/>
        <v>4</v>
      </c>
      <c r="Z263">
        <f t="shared" si="9"/>
        <v>2.5</v>
      </c>
    </row>
    <row r="264" spans="1:26" x14ac:dyDescent="0.25">
      <c r="A264" s="2" t="s">
        <v>458</v>
      </c>
      <c r="B264" s="8">
        <v>61</v>
      </c>
      <c r="C264" s="2" t="s">
        <v>22</v>
      </c>
      <c r="D264" s="8" t="s">
        <v>28</v>
      </c>
      <c r="E264" s="2">
        <v>17.5</v>
      </c>
      <c r="F264" s="2">
        <v>10</v>
      </c>
      <c r="G264" s="2">
        <v>14</v>
      </c>
      <c r="H264" s="2">
        <v>65</v>
      </c>
      <c r="I264" s="2">
        <v>39</v>
      </c>
      <c r="J264" s="2">
        <v>61</v>
      </c>
      <c r="K264" s="2">
        <v>36</v>
      </c>
      <c r="L264" s="2" t="s">
        <v>21</v>
      </c>
      <c r="M264" s="2">
        <v>2</v>
      </c>
      <c r="N264" s="2">
        <v>0</v>
      </c>
      <c r="O264" s="2">
        <v>2</v>
      </c>
      <c r="P264" s="2">
        <v>0</v>
      </c>
      <c r="Q264" s="2">
        <v>0</v>
      </c>
      <c r="R264" s="2">
        <v>16</v>
      </c>
      <c r="S264" s="2">
        <v>2</v>
      </c>
      <c r="T264" s="2">
        <v>1</v>
      </c>
      <c r="U264" s="2">
        <v>1</v>
      </c>
      <c r="V264" s="2">
        <v>0</v>
      </c>
      <c r="W264" s="2">
        <v>0</v>
      </c>
      <c r="X264" s="2">
        <v>10</v>
      </c>
      <c r="Y264">
        <f t="shared" si="8"/>
        <v>8</v>
      </c>
      <c r="Z264">
        <f t="shared" si="9"/>
        <v>3.25</v>
      </c>
    </row>
    <row r="265" spans="1:26" x14ac:dyDescent="0.25">
      <c r="A265" s="2" t="s">
        <v>434</v>
      </c>
      <c r="B265" s="8" t="s">
        <v>435</v>
      </c>
      <c r="C265" s="2" t="s">
        <v>22</v>
      </c>
      <c r="D265" s="8" t="s">
        <v>28</v>
      </c>
      <c r="E265" s="2">
        <v>15.5</v>
      </c>
      <c r="F265" s="2">
        <v>10</v>
      </c>
      <c r="G265" s="2"/>
      <c r="H265" s="2"/>
      <c r="I265" s="2"/>
      <c r="J265" s="2"/>
      <c r="K265" s="2">
        <v>31</v>
      </c>
      <c r="L265" s="2" t="s">
        <v>21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>
        <f t="shared" si="8"/>
        <v>0</v>
      </c>
      <c r="Z265" t="e">
        <f t="shared" si="9"/>
        <v>#DIV/0!</v>
      </c>
    </row>
    <row r="266" spans="1:26" x14ac:dyDescent="0.25">
      <c r="A266" s="2" t="s">
        <v>398</v>
      </c>
      <c r="B266" s="8" t="s">
        <v>399</v>
      </c>
      <c r="C266" s="2" t="s">
        <v>22</v>
      </c>
      <c r="D266" s="8" t="s">
        <v>28</v>
      </c>
      <c r="E266" s="2">
        <v>10</v>
      </c>
      <c r="F266" s="2">
        <v>18</v>
      </c>
      <c r="G266" s="2"/>
      <c r="H266" s="2"/>
      <c r="I266" s="2"/>
      <c r="J266" s="2"/>
      <c r="K266" s="2">
        <v>33</v>
      </c>
      <c r="L266" s="2" t="s">
        <v>21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>
        <f t="shared" si="8"/>
        <v>0</v>
      </c>
      <c r="Z266" t="e">
        <f t="shared" si="9"/>
        <v>#DIV/0!</v>
      </c>
    </row>
    <row r="267" spans="1:26" x14ac:dyDescent="0.25">
      <c r="A267" s="2" t="s">
        <v>401</v>
      </c>
      <c r="B267" s="8" t="s">
        <v>402</v>
      </c>
      <c r="C267" s="2" t="s">
        <v>22</v>
      </c>
      <c r="D267" s="8" t="s">
        <v>28</v>
      </c>
      <c r="E267" s="2">
        <v>16</v>
      </c>
      <c r="F267" s="2">
        <v>24</v>
      </c>
      <c r="G267" s="2">
        <v>12</v>
      </c>
      <c r="H267" s="2">
        <v>123</v>
      </c>
      <c r="I267" s="2">
        <v>50</v>
      </c>
      <c r="J267" s="2">
        <v>59</v>
      </c>
      <c r="K267" s="2">
        <v>38</v>
      </c>
      <c r="L267" s="2" t="s">
        <v>21</v>
      </c>
      <c r="M267" s="2">
        <v>1</v>
      </c>
      <c r="N267" s="2">
        <v>3</v>
      </c>
      <c r="O267" s="2">
        <v>0</v>
      </c>
      <c r="P267" s="2">
        <v>0</v>
      </c>
      <c r="Q267" s="2">
        <v>0</v>
      </c>
      <c r="R267" s="2">
        <v>13</v>
      </c>
      <c r="S267" s="2">
        <v>3</v>
      </c>
      <c r="T267" s="2">
        <v>0</v>
      </c>
      <c r="U267" s="2">
        <v>1</v>
      </c>
      <c r="V267" s="2">
        <v>1</v>
      </c>
      <c r="W267" s="2">
        <v>0</v>
      </c>
      <c r="X267" s="2">
        <v>58</v>
      </c>
      <c r="Y267">
        <f t="shared" si="8"/>
        <v>9</v>
      </c>
      <c r="Z267">
        <f t="shared" si="9"/>
        <v>7.8888888888888893</v>
      </c>
    </row>
    <row r="268" spans="1:26" x14ac:dyDescent="0.25">
      <c r="A268" s="2" t="s">
        <v>503</v>
      </c>
      <c r="B268" s="8">
        <v>41</v>
      </c>
      <c r="C268" s="2" t="s">
        <v>19</v>
      </c>
      <c r="D268" s="8" t="s">
        <v>28</v>
      </c>
      <c r="E268" s="2">
        <v>14</v>
      </c>
      <c r="F268" s="2">
        <v>18</v>
      </c>
      <c r="G268" s="2">
        <v>17</v>
      </c>
      <c r="H268" s="2"/>
      <c r="I268" s="2">
        <v>39</v>
      </c>
      <c r="J268" s="2"/>
      <c r="K268" s="2">
        <v>29</v>
      </c>
      <c r="L268" s="2" t="s">
        <v>21</v>
      </c>
      <c r="M268" s="2">
        <v>1</v>
      </c>
      <c r="N268" s="2">
        <v>0</v>
      </c>
      <c r="O268" s="2">
        <v>0</v>
      </c>
      <c r="P268" s="2">
        <v>0</v>
      </c>
      <c r="Q268" s="2">
        <v>0</v>
      </c>
      <c r="R268" s="2">
        <v>7</v>
      </c>
      <c r="S268" s="2"/>
      <c r="T268" s="2"/>
      <c r="U268" s="2"/>
      <c r="V268" s="2"/>
      <c r="W268" s="2"/>
      <c r="X268" s="2"/>
      <c r="Y268">
        <f t="shared" si="8"/>
        <v>1</v>
      </c>
      <c r="Z268">
        <f t="shared" si="9"/>
        <v>7</v>
      </c>
    </row>
    <row r="269" spans="1:26" x14ac:dyDescent="0.25">
      <c r="A269" s="2" t="s">
        <v>504</v>
      </c>
      <c r="B269" s="8">
        <v>42</v>
      </c>
      <c r="C269" s="2" t="s">
        <v>19</v>
      </c>
      <c r="D269" s="8" t="s">
        <v>28</v>
      </c>
      <c r="E269" s="2">
        <v>14.5</v>
      </c>
      <c r="F269" s="2">
        <v>15</v>
      </c>
      <c r="G269" s="2">
        <v>27</v>
      </c>
      <c r="H269" s="2">
        <v>12</v>
      </c>
      <c r="I269" s="2">
        <v>55</v>
      </c>
      <c r="J269" s="2">
        <v>68</v>
      </c>
      <c r="K269" s="2">
        <v>32</v>
      </c>
      <c r="L269" s="2">
        <v>105</v>
      </c>
      <c r="M269" s="2">
        <v>1</v>
      </c>
      <c r="N269" s="2">
        <v>0</v>
      </c>
      <c r="O269" s="2">
        <v>0</v>
      </c>
      <c r="P269" s="2">
        <v>0</v>
      </c>
      <c r="Q269" s="2">
        <v>0</v>
      </c>
      <c r="R269" s="2">
        <v>1</v>
      </c>
      <c r="S269" s="2">
        <v>1</v>
      </c>
      <c r="T269" s="2">
        <v>0</v>
      </c>
      <c r="U269" s="2">
        <v>0</v>
      </c>
      <c r="V269" s="2">
        <v>0</v>
      </c>
      <c r="W269" s="2">
        <v>0</v>
      </c>
      <c r="X269" s="2">
        <v>5</v>
      </c>
      <c r="Y269">
        <f t="shared" si="8"/>
        <v>2</v>
      </c>
      <c r="Z269">
        <f t="shared" si="9"/>
        <v>3</v>
      </c>
    </row>
    <row r="270" spans="1:26" x14ac:dyDescent="0.25">
      <c r="A270" s="2" t="s">
        <v>505</v>
      </c>
      <c r="B270" s="8">
        <v>43</v>
      </c>
      <c r="C270" s="2" t="s">
        <v>19</v>
      </c>
      <c r="D270" s="8" t="s">
        <v>28</v>
      </c>
      <c r="E270" s="2">
        <v>13</v>
      </c>
      <c r="F270" s="2">
        <v>19</v>
      </c>
      <c r="G270" s="2">
        <v>25</v>
      </c>
      <c r="H270" s="2">
        <v>37</v>
      </c>
      <c r="I270" s="2">
        <v>36</v>
      </c>
      <c r="J270" s="2">
        <v>44</v>
      </c>
      <c r="K270" s="2">
        <v>39</v>
      </c>
      <c r="L270" s="2" t="s">
        <v>21</v>
      </c>
      <c r="M270" s="2">
        <v>1</v>
      </c>
      <c r="N270" s="2">
        <v>0</v>
      </c>
      <c r="O270" s="2">
        <v>0</v>
      </c>
      <c r="P270" s="2">
        <v>1</v>
      </c>
      <c r="Q270" s="2">
        <v>0</v>
      </c>
      <c r="R270" s="2">
        <v>6</v>
      </c>
      <c r="S270" s="2">
        <v>1</v>
      </c>
      <c r="T270" s="2">
        <v>1</v>
      </c>
      <c r="U270" s="2">
        <v>0</v>
      </c>
      <c r="V270" s="2">
        <v>0</v>
      </c>
      <c r="W270" s="2">
        <v>0</v>
      </c>
      <c r="X270" s="2">
        <v>13</v>
      </c>
      <c r="Y270">
        <f t="shared" si="8"/>
        <v>4</v>
      </c>
      <c r="Z270">
        <f t="shared" si="9"/>
        <v>4.75</v>
      </c>
    </row>
    <row r="271" spans="1:26" x14ac:dyDescent="0.25">
      <c r="A271" s="2" t="s">
        <v>506</v>
      </c>
      <c r="B271" s="8">
        <v>44</v>
      </c>
      <c r="C271" s="2" t="s">
        <v>19</v>
      </c>
      <c r="D271" s="8" t="s">
        <v>28</v>
      </c>
      <c r="E271" s="2">
        <v>16</v>
      </c>
      <c r="F271" s="2" t="s">
        <v>21</v>
      </c>
      <c r="G271" s="2"/>
      <c r="H271" s="2"/>
      <c r="I271" s="2"/>
      <c r="J271" s="2"/>
      <c r="K271" s="2">
        <v>36</v>
      </c>
      <c r="L271" s="2" t="s">
        <v>21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>
        <f t="shared" si="8"/>
        <v>0</v>
      </c>
      <c r="Z271" t="e">
        <f t="shared" si="9"/>
        <v>#DIV/0!</v>
      </c>
    </row>
    <row r="272" spans="1:26" x14ac:dyDescent="0.25">
      <c r="A272" s="2" t="s">
        <v>507</v>
      </c>
      <c r="B272" s="8">
        <v>45</v>
      </c>
      <c r="C272" s="2" t="s">
        <v>19</v>
      </c>
      <c r="D272" s="8" t="s">
        <v>28</v>
      </c>
      <c r="E272" s="2">
        <v>17</v>
      </c>
      <c r="F272" s="2">
        <v>21</v>
      </c>
      <c r="G272" s="2">
        <v>11</v>
      </c>
      <c r="H272" s="2">
        <v>40</v>
      </c>
      <c r="I272" s="2">
        <v>36</v>
      </c>
      <c r="J272" s="2">
        <v>58</v>
      </c>
      <c r="K272" s="2">
        <v>35</v>
      </c>
      <c r="L272" s="2">
        <v>200</v>
      </c>
      <c r="M272" s="2">
        <v>2</v>
      </c>
      <c r="N272" s="2">
        <v>0</v>
      </c>
      <c r="O272" s="2">
        <v>0</v>
      </c>
      <c r="P272" s="2">
        <v>0</v>
      </c>
      <c r="Q272" s="2">
        <v>0</v>
      </c>
      <c r="R272" s="2">
        <v>3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25</v>
      </c>
      <c r="Y272">
        <f t="shared" si="8"/>
        <v>4</v>
      </c>
      <c r="Z272">
        <f t="shared" si="9"/>
        <v>7</v>
      </c>
    </row>
    <row r="273" spans="1:26" x14ac:dyDescent="0.25">
      <c r="A273" s="2" t="s">
        <v>508</v>
      </c>
      <c r="B273" s="8">
        <v>46</v>
      </c>
      <c r="C273" s="2" t="s">
        <v>19</v>
      </c>
      <c r="D273" s="8" t="s">
        <v>28</v>
      </c>
      <c r="E273" s="2">
        <v>13</v>
      </c>
      <c r="F273" s="2">
        <v>16</v>
      </c>
      <c r="G273" s="2">
        <v>14</v>
      </c>
      <c r="H273" s="2">
        <v>31</v>
      </c>
      <c r="I273" s="2">
        <v>36</v>
      </c>
      <c r="J273" s="2">
        <v>50</v>
      </c>
      <c r="K273" s="2">
        <v>32</v>
      </c>
      <c r="L273" s="2" t="s">
        <v>21</v>
      </c>
      <c r="M273" s="2">
        <v>2</v>
      </c>
      <c r="N273" s="2">
        <v>0</v>
      </c>
      <c r="O273" s="2">
        <v>1</v>
      </c>
      <c r="P273" s="2">
        <v>0</v>
      </c>
      <c r="Q273" s="2">
        <v>0</v>
      </c>
      <c r="R273" s="2">
        <v>6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5</v>
      </c>
      <c r="Y273">
        <f t="shared" si="8"/>
        <v>5</v>
      </c>
      <c r="Z273">
        <f t="shared" si="9"/>
        <v>2.2000000000000002</v>
      </c>
    </row>
    <row r="274" spans="1:26" x14ac:dyDescent="0.25">
      <c r="A274" s="2" t="s">
        <v>509</v>
      </c>
      <c r="B274" s="8">
        <v>47</v>
      </c>
      <c r="C274" s="2" t="s">
        <v>19</v>
      </c>
      <c r="D274" s="8" t="s">
        <v>28</v>
      </c>
      <c r="E274" s="2">
        <v>15</v>
      </c>
      <c r="F274" s="2">
        <v>19</v>
      </c>
      <c r="G274" s="2"/>
      <c r="H274" s="2">
        <v>18</v>
      </c>
      <c r="I274" s="2"/>
      <c r="J274" s="2">
        <v>48</v>
      </c>
      <c r="K274" s="2">
        <v>32</v>
      </c>
      <c r="L274" s="2" t="s">
        <v>21</v>
      </c>
      <c r="M274" s="2"/>
      <c r="N274" s="2"/>
      <c r="O274" s="2"/>
      <c r="P274" s="2"/>
      <c r="Q274" s="2"/>
      <c r="R274" s="2"/>
      <c r="S274" s="2">
        <v>2</v>
      </c>
      <c r="T274" s="2">
        <v>0</v>
      </c>
      <c r="U274" s="2">
        <v>0</v>
      </c>
      <c r="V274" s="2">
        <v>0</v>
      </c>
      <c r="W274" s="2">
        <v>0</v>
      </c>
      <c r="X274" s="2">
        <v>9</v>
      </c>
      <c r="Y274">
        <f t="shared" si="8"/>
        <v>2</v>
      </c>
      <c r="Z274">
        <f t="shared" si="9"/>
        <v>4.5</v>
      </c>
    </row>
    <row r="275" spans="1:26" x14ac:dyDescent="0.25">
      <c r="A275" s="2" t="s">
        <v>510</v>
      </c>
      <c r="B275" s="8">
        <v>48</v>
      </c>
      <c r="C275" s="2" t="s">
        <v>19</v>
      </c>
      <c r="D275" s="8" t="s">
        <v>28</v>
      </c>
      <c r="E275" s="2">
        <v>13</v>
      </c>
      <c r="F275" s="2">
        <v>27</v>
      </c>
      <c r="G275" s="2"/>
      <c r="H275" s="2">
        <v>24</v>
      </c>
      <c r="I275" s="2"/>
      <c r="J275" s="2">
        <v>37</v>
      </c>
      <c r="K275" s="2">
        <v>35</v>
      </c>
      <c r="L275" s="2" t="s">
        <v>21</v>
      </c>
      <c r="M275" s="2"/>
      <c r="N275" s="2"/>
      <c r="O275" s="2"/>
      <c r="P275" s="2"/>
      <c r="Q275" s="2"/>
      <c r="R275" s="2"/>
      <c r="S275" s="2">
        <v>3</v>
      </c>
      <c r="T275" s="2">
        <v>1</v>
      </c>
      <c r="U275" s="2">
        <v>0</v>
      </c>
      <c r="V275" s="2">
        <v>0</v>
      </c>
      <c r="W275" s="2">
        <v>0</v>
      </c>
      <c r="X275" s="2">
        <v>5</v>
      </c>
      <c r="Y275">
        <f t="shared" si="8"/>
        <v>4</v>
      </c>
      <c r="Z275">
        <f t="shared" si="9"/>
        <v>1.25</v>
      </c>
    </row>
    <row r="276" spans="1:26" x14ac:dyDescent="0.25">
      <c r="A276" s="2" t="s">
        <v>511</v>
      </c>
      <c r="B276" s="8">
        <v>49</v>
      </c>
      <c r="C276" s="2" t="s">
        <v>19</v>
      </c>
      <c r="D276" s="8" t="s">
        <v>28</v>
      </c>
      <c r="E276" s="2">
        <v>16</v>
      </c>
      <c r="F276" s="2">
        <v>23</v>
      </c>
      <c r="G276" s="2">
        <v>57</v>
      </c>
      <c r="H276" s="2">
        <v>106</v>
      </c>
      <c r="I276" s="2">
        <v>65</v>
      </c>
      <c r="J276" s="2">
        <v>69</v>
      </c>
      <c r="K276" s="2">
        <v>33</v>
      </c>
      <c r="L276" s="2" t="s">
        <v>21</v>
      </c>
      <c r="M276" s="2">
        <v>0</v>
      </c>
      <c r="N276" s="2">
        <v>0</v>
      </c>
      <c r="O276" s="2">
        <v>0</v>
      </c>
      <c r="P276" s="2">
        <v>1</v>
      </c>
      <c r="Q276" s="2">
        <v>0</v>
      </c>
      <c r="R276" s="2">
        <v>1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7</v>
      </c>
      <c r="Y276">
        <f t="shared" si="8"/>
        <v>2</v>
      </c>
      <c r="Z276">
        <f t="shared" si="9"/>
        <v>4</v>
      </c>
    </row>
    <row r="277" spans="1:26" x14ac:dyDescent="0.25">
      <c r="A277" s="2" t="s">
        <v>512</v>
      </c>
      <c r="B277" s="8">
        <v>50</v>
      </c>
      <c r="C277" s="2" t="s">
        <v>19</v>
      </c>
      <c r="D277" s="8" t="s">
        <v>28</v>
      </c>
      <c r="E277" s="2">
        <v>16</v>
      </c>
      <c r="F277" s="2">
        <v>18.5</v>
      </c>
      <c r="G277" s="2">
        <v>24</v>
      </c>
      <c r="H277" s="2">
        <v>69</v>
      </c>
      <c r="I277" s="2">
        <v>40</v>
      </c>
      <c r="J277" s="2">
        <v>49</v>
      </c>
      <c r="K277" s="2">
        <v>29</v>
      </c>
      <c r="L277" s="2">
        <v>1041</v>
      </c>
      <c r="M277" s="2">
        <v>1</v>
      </c>
      <c r="N277" s="2">
        <v>0</v>
      </c>
      <c r="O277" s="2">
        <v>0</v>
      </c>
      <c r="P277" s="2">
        <v>0</v>
      </c>
      <c r="Q277" s="2">
        <v>0</v>
      </c>
      <c r="R277" s="2">
        <v>4</v>
      </c>
      <c r="S277" s="2">
        <v>1</v>
      </c>
      <c r="T277" s="2">
        <v>2</v>
      </c>
      <c r="U277" s="2">
        <v>2</v>
      </c>
      <c r="V277" s="2">
        <v>0</v>
      </c>
      <c r="W277" s="2">
        <v>0</v>
      </c>
      <c r="X277" s="2">
        <v>8</v>
      </c>
      <c r="Y277">
        <f t="shared" si="8"/>
        <v>6</v>
      </c>
      <c r="Z277">
        <f t="shared" si="9"/>
        <v>2</v>
      </c>
    </row>
    <row r="278" spans="1:26" x14ac:dyDescent="0.25">
      <c r="A278" s="2" t="s">
        <v>513</v>
      </c>
      <c r="B278" s="8">
        <v>51</v>
      </c>
      <c r="C278" s="2" t="s">
        <v>19</v>
      </c>
      <c r="D278" s="8" t="s">
        <v>28</v>
      </c>
      <c r="E278" s="2">
        <v>16</v>
      </c>
      <c r="F278" s="2">
        <v>23</v>
      </c>
      <c r="G278" s="2">
        <v>27</v>
      </c>
      <c r="H278" s="2">
        <v>102</v>
      </c>
      <c r="I278" s="2">
        <v>48</v>
      </c>
      <c r="J278" s="2">
        <v>42</v>
      </c>
      <c r="K278" s="2">
        <v>34</v>
      </c>
      <c r="L278" s="2">
        <v>7859</v>
      </c>
      <c r="M278" s="2">
        <v>2</v>
      </c>
      <c r="N278" s="2">
        <v>0</v>
      </c>
      <c r="O278" s="2">
        <v>1</v>
      </c>
      <c r="P278" s="2">
        <v>0</v>
      </c>
      <c r="Q278" s="2">
        <v>0</v>
      </c>
      <c r="R278" s="2">
        <v>11</v>
      </c>
      <c r="S278" s="2">
        <v>4</v>
      </c>
      <c r="T278" s="2">
        <v>0</v>
      </c>
      <c r="U278" s="2">
        <v>1</v>
      </c>
      <c r="V278" s="2">
        <v>0</v>
      </c>
      <c r="W278" s="2">
        <v>0</v>
      </c>
      <c r="X278" s="2">
        <v>9</v>
      </c>
      <c r="Y278">
        <f t="shared" si="8"/>
        <v>8</v>
      </c>
      <c r="Z278">
        <f t="shared" si="9"/>
        <v>2.5</v>
      </c>
    </row>
    <row r="279" spans="1:26" x14ac:dyDescent="0.25">
      <c r="A279" s="2" t="s">
        <v>514</v>
      </c>
      <c r="B279" s="8">
        <v>52</v>
      </c>
      <c r="C279" s="2" t="s">
        <v>19</v>
      </c>
      <c r="D279" s="8" t="s">
        <v>28</v>
      </c>
      <c r="E279" s="2">
        <v>16</v>
      </c>
      <c r="F279" s="2">
        <v>12</v>
      </c>
      <c r="G279" s="2"/>
      <c r="H279" s="2">
        <v>20</v>
      </c>
      <c r="I279" s="2"/>
      <c r="J279" s="2">
        <v>70</v>
      </c>
      <c r="K279" s="2">
        <v>31</v>
      </c>
      <c r="L279" s="2" t="s">
        <v>21</v>
      </c>
      <c r="M279" s="2"/>
      <c r="N279" s="2"/>
      <c r="O279" s="2"/>
      <c r="P279" s="2"/>
      <c r="Q279" s="2"/>
      <c r="R279" s="2"/>
      <c r="S279" s="2">
        <v>1</v>
      </c>
      <c r="T279" s="2">
        <v>0</v>
      </c>
      <c r="U279" s="2">
        <v>0</v>
      </c>
      <c r="V279" s="2">
        <v>0</v>
      </c>
      <c r="W279" s="2">
        <v>0</v>
      </c>
      <c r="X279" s="2">
        <v>2</v>
      </c>
      <c r="Y279">
        <f t="shared" si="8"/>
        <v>1</v>
      </c>
      <c r="Z279">
        <f t="shared" si="9"/>
        <v>2</v>
      </c>
    </row>
    <row r="280" spans="1:26" x14ac:dyDescent="0.25">
      <c r="A280" s="2" t="s">
        <v>515</v>
      </c>
      <c r="B280" s="8">
        <v>53</v>
      </c>
      <c r="C280" s="2" t="s">
        <v>19</v>
      </c>
      <c r="D280" s="8" t="s">
        <v>28</v>
      </c>
      <c r="E280" s="2">
        <v>17</v>
      </c>
      <c r="F280" s="2">
        <v>23</v>
      </c>
      <c r="G280" s="2">
        <v>27</v>
      </c>
      <c r="H280" s="2">
        <v>52</v>
      </c>
      <c r="I280" s="2">
        <v>60</v>
      </c>
      <c r="J280" s="2">
        <v>68</v>
      </c>
      <c r="K280" s="2">
        <v>32</v>
      </c>
      <c r="L280" s="2">
        <v>323</v>
      </c>
      <c r="M280" s="2">
        <v>1</v>
      </c>
      <c r="N280" s="2">
        <v>0</v>
      </c>
      <c r="O280" s="2">
        <v>0</v>
      </c>
      <c r="P280" s="2">
        <v>0</v>
      </c>
      <c r="Q280" s="2">
        <v>0</v>
      </c>
      <c r="R280" s="2">
        <v>2</v>
      </c>
      <c r="S280" s="2">
        <v>0</v>
      </c>
      <c r="T280" s="2">
        <v>0</v>
      </c>
      <c r="U280" s="2">
        <v>2</v>
      </c>
      <c r="V280" s="2">
        <v>0</v>
      </c>
      <c r="W280" s="2">
        <v>0</v>
      </c>
      <c r="X280" s="2">
        <v>4</v>
      </c>
      <c r="Y280">
        <f t="shared" si="8"/>
        <v>3</v>
      </c>
      <c r="Z280">
        <f t="shared" si="9"/>
        <v>2</v>
      </c>
    </row>
    <row r="281" spans="1:26" x14ac:dyDescent="0.25">
      <c r="A281" s="2" t="s">
        <v>516</v>
      </c>
      <c r="B281" s="8">
        <v>54</v>
      </c>
      <c r="C281" s="2" t="s">
        <v>19</v>
      </c>
      <c r="D281" s="8" t="s">
        <v>28</v>
      </c>
      <c r="E281" s="2">
        <v>14.5</v>
      </c>
      <c r="F281" s="2">
        <v>18</v>
      </c>
      <c r="G281" s="2">
        <v>27</v>
      </c>
      <c r="H281" s="2">
        <v>57</v>
      </c>
      <c r="I281" s="2">
        <v>55</v>
      </c>
      <c r="J281" s="2">
        <v>72</v>
      </c>
      <c r="K281" s="2">
        <v>32</v>
      </c>
      <c r="L281" s="2" t="s">
        <v>21</v>
      </c>
      <c r="M281" s="2">
        <v>1</v>
      </c>
      <c r="N281" s="2">
        <v>0</v>
      </c>
      <c r="O281" s="2">
        <v>0</v>
      </c>
      <c r="P281" s="2">
        <v>0</v>
      </c>
      <c r="Q281" s="2">
        <v>0</v>
      </c>
      <c r="R281" s="2">
        <v>1</v>
      </c>
      <c r="S281" s="2">
        <v>3</v>
      </c>
      <c r="T281" s="2">
        <v>0</v>
      </c>
      <c r="U281" s="2">
        <v>0</v>
      </c>
      <c r="V281" s="2">
        <v>0</v>
      </c>
      <c r="W281" s="2">
        <v>0</v>
      </c>
      <c r="X281" s="2">
        <v>13</v>
      </c>
      <c r="Y281">
        <f t="shared" si="8"/>
        <v>4</v>
      </c>
      <c r="Z281">
        <f t="shared" si="9"/>
        <v>3.5</v>
      </c>
    </row>
    <row r="282" spans="1:26" x14ac:dyDescent="0.25">
      <c r="A282" s="2" t="s">
        <v>517</v>
      </c>
      <c r="B282" s="8">
        <v>55</v>
      </c>
      <c r="C282" s="2" t="s">
        <v>19</v>
      </c>
      <c r="D282" s="8" t="s">
        <v>28</v>
      </c>
      <c r="E282" s="2">
        <v>16</v>
      </c>
      <c r="F282" s="2">
        <v>14</v>
      </c>
      <c r="G282" s="2">
        <v>19</v>
      </c>
      <c r="H282" s="2">
        <v>23</v>
      </c>
      <c r="I282" s="2">
        <v>58</v>
      </c>
      <c r="J282" s="2">
        <v>67</v>
      </c>
      <c r="K282" s="2">
        <v>30</v>
      </c>
      <c r="L282" s="2">
        <v>255</v>
      </c>
      <c r="M282" s="2">
        <v>1</v>
      </c>
      <c r="N282" s="2">
        <v>0</v>
      </c>
      <c r="O282" s="2">
        <v>0</v>
      </c>
      <c r="P282" s="2">
        <v>0</v>
      </c>
      <c r="Q282" s="2">
        <v>0</v>
      </c>
      <c r="R282" s="2">
        <v>1</v>
      </c>
      <c r="S282" s="2">
        <v>3</v>
      </c>
      <c r="T282" s="2">
        <v>1</v>
      </c>
      <c r="U282" s="2">
        <v>0</v>
      </c>
      <c r="V282" s="2">
        <v>0</v>
      </c>
      <c r="W282" s="2">
        <v>0</v>
      </c>
      <c r="X282" s="2">
        <v>10</v>
      </c>
      <c r="Y282">
        <f t="shared" si="8"/>
        <v>5</v>
      </c>
      <c r="Z282">
        <f t="shared" si="9"/>
        <v>2.2000000000000002</v>
      </c>
    </row>
    <row r="283" spans="1:26" x14ac:dyDescent="0.25">
      <c r="A283" s="2" t="s">
        <v>518</v>
      </c>
      <c r="B283" s="8">
        <v>56</v>
      </c>
      <c r="C283" s="2" t="s">
        <v>19</v>
      </c>
      <c r="D283" s="8" t="s">
        <v>28</v>
      </c>
      <c r="E283" s="2">
        <v>19</v>
      </c>
      <c r="F283" s="2">
        <v>12</v>
      </c>
      <c r="G283" s="2"/>
      <c r="H283" s="2">
        <v>40</v>
      </c>
      <c r="I283" s="2"/>
      <c r="J283" s="2">
        <v>63</v>
      </c>
      <c r="K283" s="2">
        <v>35</v>
      </c>
      <c r="L283" s="2" t="s">
        <v>21</v>
      </c>
      <c r="M283" s="2"/>
      <c r="N283" s="2"/>
      <c r="O283" s="2"/>
      <c r="P283" s="2"/>
      <c r="Q283" s="2"/>
      <c r="R283" s="2"/>
      <c r="S283" s="2">
        <v>2</v>
      </c>
      <c r="T283" s="2">
        <v>0</v>
      </c>
      <c r="U283" s="2">
        <v>0</v>
      </c>
      <c r="V283" s="2">
        <v>0</v>
      </c>
      <c r="W283" s="2">
        <v>0</v>
      </c>
      <c r="X283" s="2">
        <v>6</v>
      </c>
      <c r="Y283">
        <f t="shared" si="8"/>
        <v>2</v>
      </c>
      <c r="Z283">
        <f t="shared" si="9"/>
        <v>3</v>
      </c>
    </row>
    <row r="284" spans="1:26" x14ac:dyDescent="0.25">
      <c r="A284" s="2" t="s">
        <v>519</v>
      </c>
      <c r="B284" s="8">
        <v>57</v>
      </c>
      <c r="C284" s="2" t="s">
        <v>19</v>
      </c>
      <c r="D284" s="8" t="s">
        <v>28</v>
      </c>
      <c r="E284" s="2">
        <v>20.5</v>
      </c>
      <c r="F284" s="2">
        <v>15</v>
      </c>
      <c r="G284" s="2">
        <v>34</v>
      </c>
      <c r="H284" s="2">
        <v>43</v>
      </c>
      <c r="I284" s="2">
        <v>56</v>
      </c>
      <c r="J284" s="2">
        <v>72</v>
      </c>
      <c r="K284" s="2">
        <v>32</v>
      </c>
      <c r="L284" s="2" t="s">
        <v>21</v>
      </c>
      <c r="M284" s="2">
        <v>2</v>
      </c>
      <c r="N284" s="2">
        <v>0</v>
      </c>
      <c r="O284" s="2">
        <v>0</v>
      </c>
      <c r="P284" s="2">
        <v>0</v>
      </c>
      <c r="Q284" s="2">
        <v>0</v>
      </c>
      <c r="R284" s="2">
        <v>4</v>
      </c>
      <c r="S284" s="2">
        <v>1</v>
      </c>
      <c r="T284" s="2">
        <v>0</v>
      </c>
      <c r="U284" s="2">
        <v>0</v>
      </c>
      <c r="V284" s="2">
        <v>0</v>
      </c>
      <c r="W284" s="2">
        <v>0</v>
      </c>
      <c r="X284" s="2">
        <v>12</v>
      </c>
      <c r="Y284">
        <f t="shared" si="8"/>
        <v>3</v>
      </c>
      <c r="Z284">
        <f t="shared" si="9"/>
        <v>5.333333333333333</v>
      </c>
    </row>
    <row r="285" spans="1:26" x14ac:dyDescent="0.25">
      <c r="A285" s="2" t="s">
        <v>520</v>
      </c>
      <c r="B285" s="8">
        <v>58</v>
      </c>
      <c r="C285" s="2" t="s">
        <v>19</v>
      </c>
      <c r="D285" s="8" t="s">
        <v>28</v>
      </c>
      <c r="E285" s="2">
        <v>12</v>
      </c>
      <c r="F285" s="2">
        <v>14</v>
      </c>
      <c r="G285" s="2"/>
      <c r="H285" s="2">
        <v>33</v>
      </c>
      <c r="I285" s="2"/>
      <c r="J285" s="2">
        <v>49</v>
      </c>
      <c r="K285" s="2">
        <v>31</v>
      </c>
      <c r="L285" s="2">
        <v>134</v>
      </c>
      <c r="M285" s="2"/>
      <c r="N285" s="2"/>
      <c r="O285" s="2"/>
      <c r="P285" s="2"/>
      <c r="Q285" s="2"/>
      <c r="R285" s="2"/>
      <c r="S285" s="2">
        <v>2</v>
      </c>
      <c r="T285" s="2">
        <v>0</v>
      </c>
      <c r="U285" s="2">
        <v>0</v>
      </c>
      <c r="V285" s="2">
        <v>0</v>
      </c>
      <c r="W285" s="2">
        <v>0</v>
      </c>
      <c r="X285" s="2">
        <v>14</v>
      </c>
      <c r="Y285">
        <f t="shared" si="8"/>
        <v>2</v>
      </c>
      <c r="Z285">
        <f t="shared" si="9"/>
        <v>7</v>
      </c>
    </row>
    <row r="286" spans="1:26" x14ac:dyDescent="0.25">
      <c r="A286" s="2" t="s">
        <v>521</v>
      </c>
      <c r="B286" s="8">
        <v>59</v>
      </c>
      <c r="C286" s="2" t="s">
        <v>19</v>
      </c>
      <c r="D286" s="8" t="s">
        <v>28</v>
      </c>
      <c r="E286" s="2">
        <v>17</v>
      </c>
      <c r="F286" s="2">
        <v>24</v>
      </c>
      <c r="G286" s="2">
        <v>14</v>
      </c>
      <c r="H286" s="2">
        <v>54</v>
      </c>
      <c r="I286" s="2">
        <v>50</v>
      </c>
      <c r="J286" s="2">
        <v>48</v>
      </c>
      <c r="K286" s="2">
        <v>34</v>
      </c>
      <c r="L286" s="2" t="s">
        <v>21</v>
      </c>
      <c r="M286" s="2">
        <v>2</v>
      </c>
      <c r="N286" s="2">
        <v>0</v>
      </c>
      <c r="O286" s="2">
        <v>0</v>
      </c>
      <c r="P286" s="2">
        <v>0</v>
      </c>
      <c r="Q286" s="2">
        <v>0</v>
      </c>
      <c r="R286" s="2">
        <v>3</v>
      </c>
      <c r="S286" s="2">
        <v>6</v>
      </c>
      <c r="T286" s="2">
        <v>0</v>
      </c>
      <c r="U286" s="2">
        <v>1</v>
      </c>
      <c r="V286" s="2">
        <v>0</v>
      </c>
      <c r="W286" s="2">
        <v>0</v>
      </c>
      <c r="X286" s="2">
        <v>28</v>
      </c>
      <c r="Y286">
        <f t="shared" si="8"/>
        <v>9</v>
      </c>
      <c r="Z286">
        <f t="shared" si="9"/>
        <v>3.4444444444444446</v>
      </c>
    </row>
    <row r="287" spans="1:26" x14ac:dyDescent="0.25">
      <c r="A287" s="2" t="s">
        <v>522</v>
      </c>
      <c r="B287" s="8">
        <v>60</v>
      </c>
      <c r="C287" s="2" t="s">
        <v>19</v>
      </c>
      <c r="D287" s="8" t="s">
        <v>28</v>
      </c>
      <c r="E287" s="2">
        <v>14.5</v>
      </c>
      <c r="F287" s="2">
        <v>15</v>
      </c>
      <c r="G287" s="2">
        <v>31</v>
      </c>
      <c r="H287" s="2">
        <v>27</v>
      </c>
      <c r="I287" s="2">
        <v>58</v>
      </c>
      <c r="J287" s="2">
        <v>60</v>
      </c>
      <c r="K287" s="2">
        <v>32</v>
      </c>
      <c r="L287" s="2">
        <v>213</v>
      </c>
      <c r="M287" s="2">
        <v>3</v>
      </c>
      <c r="N287" s="2">
        <v>2</v>
      </c>
      <c r="O287" s="2">
        <v>0</v>
      </c>
      <c r="P287" s="2">
        <v>0</v>
      </c>
      <c r="Q287" s="2">
        <v>0</v>
      </c>
      <c r="R287" s="2">
        <v>12</v>
      </c>
      <c r="S287" s="2">
        <v>3</v>
      </c>
      <c r="T287" s="2">
        <v>0</v>
      </c>
      <c r="U287" s="2">
        <v>0</v>
      </c>
      <c r="V287" s="2">
        <v>0</v>
      </c>
      <c r="W287" s="2">
        <v>0</v>
      </c>
      <c r="X287" s="2">
        <v>4</v>
      </c>
      <c r="Y287">
        <f t="shared" si="8"/>
        <v>8</v>
      </c>
      <c r="Z287">
        <f t="shared" si="9"/>
        <v>2</v>
      </c>
    </row>
    <row r="288" spans="1:26" x14ac:dyDescent="0.25">
      <c r="A288" s="2" t="s">
        <v>523</v>
      </c>
      <c r="B288" s="8">
        <v>61</v>
      </c>
      <c r="C288" s="2" t="s">
        <v>19</v>
      </c>
      <c r="D288" s="8" t="s">
        <v>28</v>
      </c>
      <c r="E288" s="2">
        <v>16</v>
      </c>
      <c r="F288" s="2">
        <v>22</v>
      </c>
      <c r="G288" s="2"/>
      <c r="H288" s="2"/>
      <c r="I288" s="2"/>
      <c r="J288" s="2"/>
      <c r="K288" s="2">
        <v>45</v>
      </c>
      <c r="L288" s="2" t="s">
        <v>21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>
        <f t="shared" si="8"/>
        <v>0</v>
      </c>
      <c r="Z288" t="e">
        <f t="shared" si="9"/>
        <v>#DIV/0!</v>
      </c>
    </row>
    <row r="289" spans="1:26" x14ac:dyDescent="0.25">
      <c r="A289" s="2" t="s">
        <v>524</v>
      </c>
      <c r="B289" s="8">
        <v>62</v>
      </c>
      <c r="C289" s="2" t="s">
        <v>19</v>
      </c>
      <c r="D289" s="8" t="s">
        <v>28</v>
      </c>
      <c r="E289" s="2">
        <v>11</v>
      </c>
      <c r="F289" s="2">
        <v>12</v>
      </c>
      <c r="G289" s="2"/>
      <c r="H289" s="2">
        <v>11</v>
      </c>
      <c r="I289" s="2"/>
      <c r="J289" s="2">
        <v>30</v>
      </c>
      <c r="K289" s="2">
        <v>31</v>
      </c>
      <c r="L289" s="2" t="s">
        <v>21</v>
      </c>
      <c r="M289" s="2"/>
      <c r="N289" s="2"/>
      <c r="O289" s="2"/>
      <c r="P289" s="2"/>
      <c r="Q289" s="2"/>
      <c r="R289" s="2"/>
      <c r="S289" s="2">
        <v>1</v>
      </c>
      <c r="T289" s="2">
        <v>0</v>
      </c>
      <c r="U289" s="2">
        <v>0</v>
      </c>
      <c r="V289" s="2">
        <v>1</v>
      </c>
      <c r="W289" s="2">
        <v>0</v>
      </c>
      <c r="X289" s="2">
        <v>6</v>
      </c>
      <c r="Y289">
        <f t="shared" si="8"/>
        <v>2</v>
      </c>
      <c r="Z289">
        <f t="shared" si="9"/>
        <v>3</v>
      </c>
    </row>
    <row r="290" spans="1:26" x14ac:dyDescent="0.25">
      <c r="A290" s="2" t="s">
        <v>465</v>
      </c>
      <c r="B290" s="8" t="s">
        <v>399</v>
      </c>
      <c r="C290" s="2" t="s">
        <v>19</v>
      </c>
      <c r="D290" s="8" t="s">
        <v>28</v>
      </c>
      <c r="E290" s="2">
        <v>8</v>
      </c>
      <c r="F290" s="2">
        <v>14</v>
      </c>
      <c r="G290" s="2">
        <v>8</v>
      </c>
      <c r="H290" s="2">
        <v>9</v>
      </c>
      <c r="I290" s="2">
        <v>37</v>
      </c>
      <c r="J290" s="2">
        <v>37</v>
      </c>
      <c r="K290" s="2">
        <v>31</v>
      </c>
      <c r="L290" s="2" t="s">
        <v>21</v>
      </c>
      <c r="M290" s="2">
        <v>1</v>
      </c>
      <c r="N290" s="2">
        <v>0</v>
      </c>
      <c r="O290" s="2">
        <v>0</v>
      </c>
      <c r="P290" s="2">
        <v>0</v>
      </c>
      <c r="Q290" s="2">
        <v>0</v>
      </c>
      <c r="R290" s="2">
        <v>7</v>
      </c>
      <c r="S290" s="2">
        <v>1</v>
      </c>
      <c r="T290" s="2">
        <v>0</v>
      </c>
      <c r="U290" s="2">
        <v>0</v>
      </c>
      <c r="V290" s="2">
        <v>0</v>
      </c>
      <c r="W290" s="2">
        <v>0</v>
      </c>
      <c r="X290" s="2">
        <v>1</v>
      </c>
      <c r="Y290">
        <f t="shared" si="8"/>
        <v>2</v>
      </c>
      <c r="Z290">
        <f t="shared" si="9"/>
        <v>4</v>
      </c>
    </row>
    <row r="291" spans="1:26" x14ac:dyDescent="0.25">
      <c r="A291" s="2" t="s">
        <v>487</v>
      </c>
      <c r="B291" s="8" t="s">
        <v>488</v>
      </c>
      <c r="C291" s="2" t="s">
        <v>19</v>
      </c>
      <c r="D291" s="8" t="s">
        <v>28</v>
      </c>
      <c r="E291" s="2">
        <v>14</v>
      </c>
      <c r="F291" s="2">
        <v>20</v>
      </c>
      <c r="G291" s="2">
        <v>12</v>
      </c>
      <c r="H291" s="2">
        <v>33</v>
      </c>
      <c r="I291" s="2">
        <v>50</v>
      </c>
      <c r="J291" s="2">
        <v>59</v>
      </c>
      <c r="K291" s="2">
        <v>33</v>
      </c>
      <c r="L291" s="2" t="s">
        <v>21</v>
      </c>
      <c r="M291" s="2">
        <v>0</v>
      </c>
      <c r="N291" s="2">
        <v>1</v>
      </c>
      <c r="O291" s="2">
        <v>0</v>
      </c>
      <c r="P291" s="2">
        <v>0</v>
      </c>
      <c r="Q291" s="2">
        <v>0</v>
      </c>
      <c r="R291" s="2">
        <v>1</v>
      </c>
      <c r="S291" s="2">
        <v>4</v>
      </c>
      <c r="T291" s="2">
        <v>0</v>
      </c>
      <c r="U291" s="2">
        <v>1</v>
      </c>
      <c r="V291" s="2">
        <v>0</v>
      </c>
      <c r="W291" s="2">
        <v>0</v>
      </c>
      <c r="X291" s="2">
        <v>22</v>
      </c>
      <c r="Y291">
        <f t="shared" si="8"/>
        <v>6</v>
      </c>
      <c r="Z291">
        <f t="shared" si="9"/>
        <v>3.8333333333333335</v>
      </c>
    </row>
    <row r="292" spans="1:26" x14ac:dyDescent="0.25">
      <c r="A292" s="2" t="s">
        <v>571</v>
      </c>
      <c r="B292" s="8">
        <v>41</v>
      </c>
      <c r="C292" s="2" t="s">
        <v>26</v>
      </c>
      <c r="D292" s="8" t="s">
        <v>28</v>
      </c>
      <c r="E292" s="2">
        <v>15</v>
      </c>
      <c r="F292" s="2">
        <v>14</v>
      </c>
      <c r="G292" s="2">
        <v>17</v>
      </c>
      <c r="H292" s="2">
        <v>48</v>
      </c>
      <c r="I292" s="2">
        <v>37</v>
      </c>
      <c r="J292" s="2">
        <v>38</v>
      </c>
      <c r="K292" s="2">
        <v>28</v>
      </c>
      <c r="L292" s="2">
        <v>481</v>
      </c>
      <c r="M292" s="2">
        <v>1</v>
      </c>
      <c r="N292" s="2">
        <v>0</v>
      </c>
      <c r="O292" s="2">
        <v>0</v>
      </c>
      <c r="P292" s="2">
        <v>0</v>
      </c>
      <c r="Q292" s="2">
        <v>0</v>
      </c>
      <c r="R292" s="2">
        <v>2</v>
      </c>
      <c r="S292" s="2">
        <v>2</v>
      </c>
      <c r="T292" s="2">
        <v>0</v>
      </c>
      <c r="U292" s="2">
        <v>0</v>
      </c>
      <c r="V292" s="2">
        <v>0</v>
      </c>
      <c r="W292" s="2">
        <v>0</v>
      </c>
      <c r="X292" s="2">
        <v>16</v>
      </c>
      <c r="Y292">
        <f t="shared" si="8"/>
        <v>3</v>
      </c>
      <c r="Z292">
        <f t="shared" si="9"/>
        <v>6</v>
      </c>
    </row>
    <row r="293" spans="1:26" x14ac:dyDescent="0.25">
      <c r="A293" s="2" t="s">
        <v>572</v>
      </c>
      <c r="B293" s="8">
        <v>42</v>
      </c>
      <c r="C293" s="2" t="s">
        <v>26</v>
      </c>
      <c r="D293" s="8" t="s">
        <v>28</v>
      </c>
      <c r="E293" s="2">
        <v>18</v>
      </c>
      <c r="F293" s="2" t="s">
        <v>21</v>
      </c>
      <c r="G293" s="2">
        <v>18</v>
      </c>
      <c r="H293" s="2">
        <v>11</v>
      </c>
      <c r="I293" s="2">
        <v>45</v>
      </c>
      <c r="J293" s="2">
        <v>46</v>
      </c>
      <c r="K293" s="2">
        <v>30</v>
      </c>
      <c r="L293" s="2" t="s">
        <v>21</v>
      </c>
      <c r="M293" s="2">
        <v>1</v>
      </c>
      <c r="N293" s="2">
        <v>0</v>
      </c>
      <c r="O293" s="2">
        <v>1</v>
      </c>
      <c r="P293" s="2">
        <v>0</v>
      </c>
      <c r="Q293" s="2">
        <v>0</v>
      </c>
      <c r="R293" s="2">
        <v>12</v>
      </c>
      <c r="S293" s="2">
        <v>0</v>
      </c>
      <c r="T293" s="2">
        <v>0</v>
      </c>
      <c r="U293" s="2">
        <v>1</v>
      </c>
      <c r="V293" s="2">
        <v>0</v>
      </c>
      <c r="W293" s="2">
        <v>0</v>
      </c>
      <c r="X293" s="2">
        <v>2</v>
      </c>
      <c r="Y293">
        <f t="shared" si="8"/>
        <v>3</v>
      </c>
      <c r="Z293">
        <f t="shared" si="9"/>
        <v>4.666666666666667</v>
      </c>
    </row>
    <row r="294" spans="1:26" x14ac:dyDescent="0.25">
      <c r="A294" s="2" t="s">
        <v>573</v>
      </c>
      <c r="B294" s="8">
        <v>43</v>
      </c>
      <c r="C294" s="2" t="s">
        <v>26</v>
      </c>
      <c r="D294" s="8" t="s">
        <v>28</v>
      </c>
      <c r="E294" s="2">
        <v>14</v>
      </c>
      <c r="F294" s="2">
        <v>8</v>
      </c>
      <c r="G294" s="2">
        <v>31</v>
      </c>
      <c r="H294" s="2">
        <v>28</v>
      </c>
      <c r="I294" s="2">
        <v>42</v>
      </c>
      <c r="J294" s="2">
        <v>42</v>
      </c>
      <c r="K294" s="2">
        <v>32</v>
      </c>
      <c r="L294" s="2" t="s">
        <v>21</v>
      </c>
      <c r="M294" s="2">
        <v>1</v>
      </c>
      <c r="N294" s="2">
        <v>0</v>
      </c>
      <c r="O294" s="2">
        <v>0</v>
      </c>
      <c r="P294" s="2">
        <v>0</v>
      </c>
      <c r="Q294" s="2">
        <v>0</v>
      </c>
      <c r="R294" s="2">
        <v>2</v>
      </c>
      <c r="S294" s="2">
        <v>0</v>
      </c>
      <c r="T294" s="2">
        <v>1</v>
      </c>
      <c r="U294" s="2">
        <v>0</v>
      </c>
      <c r="V294" s="2">
        <v>0</v>
      </c>
      <c r="W294" s="2">
        <v>0</v>
      </c>
      <c r="X294" s="2">
        <v>1</v>
      </c>
      <c r="Y294">
        <f t="shared" si="8"/>
        <v>2</v>
      </c>
      <c r="Z294">
        <f t="shared" si="9"/>
        <v>1.5</v>
      </c>
    </row>
    <row r="295" spans="1:26" x14ac:dyDescent="0.25">
      <c r="A295" s="2" t="s">
        <v>574</v>
      </c>
      <c r="B295" s="8">
        <v>44</v>
      </c>
      <c r="C295" s="2" t="s">
        <v>26</v>
      </c>
      <c r="D295" s="8" t="s">
        <v>28</v>
      </c>
      <c r="E295" s="2">
        <v>12</v>
      </c>
      <c r="F295" s="2">
        <v>8</v>
      </c>
      <c r="G295" s="2">
        <v>31</v>
      </c>
      <c r="H295" s="2"/>
      <c r="I295" s="2">
        <v>22</v>
      </c>
      <c r="J295" s="2"/>
      <c r="K295" s="2">
        <v>28</v>
      </c>
      <c r="L295" s="2" t="s">
        <v>21</v>
      </c>
      <c r="M295" s="2">
        <v>1</v>
      </c>
      <c r="N295" s="2">
        <v>0</v>
      </c>
      <c r="O295" s="2">
        <v>0</v>
      </c>
      <c r="P295" s="2">
        <v>0</v>
      </c>
      <c r="Q295" s="2">
        <v>0</v>
      </c>
      <c r="R295" s="2">
        <v>3</v>
      </c>
      <c r="S295" s="2"/>
      <c r="T295" s="2"/>
      <c r="U295" s="2"/>
      <c r="V295" s="2"/>
      <c r="W295" s="2"/>
      <c r="X295" s="2"/>
      <c r="Y295">
        <f t="shared" si="8"/>
        <v>1</v>
      </c>
      <c r="Z295">
        <f t="shared" si="9"/>
        <v>3</v>
      </c>
    </row>
    <row r="296" spans="1:26" x14ac:dyDescent="0.25">
      <c r="A296" s="2" t="s">
        <v>575</v>
      </c>
      <c r="B296" s="8">
        <v>45</v>
      </c>
      <c r="C296" s="2" t="s">
        <v>26</v>
      </c>
      <c r="D296" s="8" t="s">
        <v>28</v>
      </c>
      <c r="E296" s="2">
        <v>17.5</v>
      </c>
      <c r="F296" s="2">
        <v>16</v>
      </c>
      <c r="G296" s="2"/>
      <c r="H296" s="2">
        <v>28</v>
      </c>
      <c r="I296" s="2"/>
      <c r="J296" s="2">
        <v>50</v>
      </c>
      <c r="K296" s="2">
        <v>31</v>
      </c>
      <c r="L296" s="2" t="s">
        <v>21</v>
      </c>
      <c r="M296" s="2"/>
      <c r="N296" s="2"/>
      <c r="O296" s="2"/>
      <c r="P296" s="2"/>
      <c r="Q296" s="2"/>
      <c r="R296" s="2"/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1</v>
      </c>
      <c r="Y296">
        <f t="shared" si="8"/>
        <v>1</v>
      </c>
      <c r="Z296">
        <f t="shared" si="9"/>
        <v>1</v>
      </c>
    </row>
    <row r="297" spans="1:26" x14ac:dyDescent="0.25">
      <c r="A297" s="2" t="s">
        <v>576</v>
      </c>
      <c r="B297" s="8">
        <v>46</v>
      </c>
      <c r="C297" s="2" t="s">
        <v>26</v>
      </c>
      <c r="D297" s="8" t="s">
        <v>28</v>
      </c>
      <c r="E297" s="2">
        <v>16</v>
      </c>
      <c r="F297" s="2">
        <v>14</v>
      </c>
      <c r="G297" s="2">
        <v>13</v>
      </c>
      <c r="H297" s="2">
        <v>39</v>
      </c>
      <c r="I297" s="2">
        <v>33</v>
      </c>
      <c r="J297" s="2">
        <v>41</v>
      </c>
      <c r="K297" s="2">
        <v>34</v>
      </c>
      <c r="L297" s="2" t="s">
        <v>21</v>
      </c>
      <c r="M297" s="2">
        <v>1</v>
      </c>
      <c r="N297" s="2">
        <v>0</v>
      </c>
      <c r="O297" s="2">
        <v>0</v>
      </c>
      <c r="P297" s="2">
        <v>0</v>
      </c>
      <c r="Q297" s="2">
        <v>0</v>
      </c>
      <c r="R297" s="2">
        <v>1</v>
      </c>
      <c r="S297" s="2">
        <v>1</v>
      </c>
      <c r="T297" s="2">
        <v>0</v>
      </c>
      <c r="U297" s="2">
        <v>0</v>
      </c>
      <c r="V297" s="2">
        <v>1</v>
      </c>
      <c r="W297" s="2">
        <v>0</v>
      </c>
      <c r="X297" s="2">
        <v>3</v>
      </c>
      <c r="Y297">
        <f t="shared" si="8"/>
        <v>3</v>
      </c>
      <c r="Z297">
        <f t="shared" si="9"/>
        <v>1.3333333333333333</v>
      </c>
    </row>
    <row r="298" spans="1:26" x14ac:dyDescent="0.25">
      <c r="A298" s="2" t="s">
        <v>577</v>
      </c>
      <c r="B298" s="8">
        <v>47</v>
      </c>
      <c r="C298" s="2" t="s">
        <v>26</v>
      </c>
      <c r="D298" s="8" t="s">
        <v>28</v>
      </c>
      <c r="E298" s="2">
        <v>17</v>
      </c>
      <c r="F298" s="2">
        <v>22</v>
      </c>
      <c r="G298" s="2">
        <v>34</v>
      </c>
      <c r="H298" s="2">
        <v>93</v>
      </c>
      <c r="I298" s="2">
        <v>50</v>
      </c>
      <c r="J298" s="2">
        <v>58</v>
      </c>
      <c r="K298" s="2">
        <v>34</v>
      </c>
      <c r="L298" s="2" t="s">
        <v>21</v>
      </c>
      <c r="M298" s="2">
        <v>1</v>
      </c>
      <c r="N298" s="2">
        <v>0</v>
      </c>
      <c r="O298" s="2">
        <v>2</v>
      </c>
      <c r="P298" s="2">
        <v>0</v>
      </c>
      <c r="Q298" s="2">
        <v>0</v>
      </c>
      <c r="R298" s="2">
        <v>19</v>
      </c>
      <c r="S298" s="2">
        <v>3</v>
      </c>
      <c r="T298" s="2">
        <v>0</v>
      </c>
      <c r="U298" s="2">
        <v>1</v>
      </c>
      <c r="V298" s="2">
        <v>1</v>
      </c>
      <c r="W298" s="2">
        <v>0</v>
      </c>
      <c r="X298" s="2">
        <v>71</v>
      </c>
      <c r="Y298">
        <f t="shared" si="8"/>
        <v>8</v>
      </c>
      <c r="Z298">
        <f t="shared" si="9"/>
        <v>11.25</v>
      </c>
    </row>
    <row r="299" spans="1:26" x14ac:dyDescent="0.25">
      <c r="A299" s="2" t="s">
        <v>578</v>
      </c>
      <c r="B299" s="8">
        <v>48</v>
      </c>
      <c r="C299" s="2" t="s">
        <v>26</v>
      </c>
      <c r="D299" s="8" t="s">
        <v>28</v>
      </c>
      <c r="E299" s="2">
        <v>15</v>
      </c>
      <c r="F299" s="2">
        <v>21</v>
      </c>
      <c r="G299" s="2"/>
      <c r="H299" s="2">
        <v>39</v>
      </c>
      <c r="I299" s="2"/>
      <c r="J299" s="2">
        <v>68</v>
      </c>
      <c r="K299" s="2">
        <v>31</v>
      </c>
      <c r="L299" s="2">
        <v>438</v>
      </c>
      <c r="M299" s="2"/>
      <c r="N299" s="2"/>
      <c r="O299" s="2"/>
      <c r="P299" s="2"/>
      <c r="Q299" s="2"/>
      <c r="R299" s="2"/>
      <c r="S299" s="2">
        <v>0</v>
      </c>
      <c r="T299" s="2">
        <v>1</v>
      </c>
      <c r="U299" s="2">
        <v>0</v>
      </c>
      <c r="V299" s="2">
        <v>2</v>
      </c>
      <c r="W299" s="2">
        <v>0</v>
      </c>
      <c r="X299" s="2">
        <v>3</v>
      </c>
      <c r="Y299">
        <f t="shared" si="8"/>
        <v>3</v>
      </c>
      <c r="Z299">
        <f t="shared" si="9"/>
        <v>1</v>
      </c>
    </row>
    <row r="300" spans="1:26" x14ac:dyDescent="0.25">
      <c r="A300" s="2" t="s">
        <v>579</v>
      </c>
      <c r="B300" s="8">
        <v>49</v>
      </c>
      <c r="C300" s="2" t="s">
        <v>26</v>
      </c>
      <c r="D300" s="8" t="s">
        <v>28</v>
      </c>
      <c r="E300" s="2">
        <v>20</v>
      </c>
      <c r="F300" s="2">
        <v>24</v>
      </c>
      <c r="G300" s="2">
        <v>10</v>
      </c>
      <c r="H300" s="2"/>
      <c r="I300" s="2">
        <v>52</v>
      </c>
      <c r="J300" s="2"/>
      <c r="K300" s="2">
        <v>37</v>
      </c>
      <c r="L300" s="2" t="s">
        <v>21</v>
      </c>
      <c r="M300" s="2">
        <v>1</v>
      </c>
      <c r="N300" s="2">
        <v>0</v>
      </c>
      <c r="O300" s="2">
        <v>0</v>
      </c>
      <c r="P300" s="2">
        <v>0</v>
      </c>
      <c r="Q300" s="2">
        <v>0</v>
      </c>
      <c r="R300" s="2">
        <v>2</v>
      </c>
      <c r="S300" s="2"/>
      <c r="T300" s="2"/>
      <c r="U300" s="2"/>
      <c r="V300" s="2"/>
      <c r="W300" s="2"/>
      <c r="X300" s="2"/>
      <c r="Y300">
        <f t="shared" si="8"/>
        <v>1</v>
      </c>
      <c r="Z300">
        <f t="shared" si="9"/>
        <v>2</v>
      </c>
    </row>
    <row r="301" spans="1:26" x14ac:dyDescent="0.25">
      <c r="A301" s="2" t="s">
        <v>580</v>
      </c>
      <c r="B301" s="8">
        <v>50</v>
      </c>
      <c r="C301" s="2" t="s">
        <v>26</v>
      </c>
      <c r="D301" s="8" t="s">
        <v>28</v>
      </c>
      <c r="E301" s="2">
        <v>18</v>
      </c>
      <c r="F301" s="2">
        <v>25</v>
      </c>
      <c r="G301" s="2">
        <v>19</v>
      </c>
      <c r="H301" s="2">
        <v>61</v>
      </c>
      <c r="I301" s="2">
        <v>49</v>
      </c>
      <c r="J301" s="2">
        <v>58</v>
      </c>
      <c r="K301" s="2">
        <v>40</v>
      </c>
      <c r="L301" s="2" t="s">
        <v>21</v>
      </c>
      <c r="M301" s="2">
        <v>1</v>
      </c>
      <c r="N301" s="2">
        <v>0</v>
      </c>
      <c r="O301" s="2">
        <v>0</v>
      </c>
      <c r="P301" s="2">
        <v>0</v>
      </c>
      <c r="Q301" s="2">
        <v>0</v>
      </c>
      <c r="R301" s="2">
        <v>15</v>
      </c>
      <c r="S301" s="2">
        <v>4</v>
      </c>
      <c r="T301" s="2">
        <v>1</v>
      </c>
      <c r="U301" s="2">
        <v>0</v>
      </c>
      <c r="V301" s="2">
        <v>0</v>
      </c>
      <c r="W301" s="2">
        <v>0</v>
      </c>
      <c r="X301" s="2">
        <v>23</v>
      </c>
      <c r="Y301">
        <f t="shared" si="8"/>
        <v>6</v>
      </c>
      <c r="Z301">
        <f t="shared" si="9"/>
        <v>6.333333333333333</v>
      </c>
    </row>
    <row r="302" spans="1:26" x14ac:dyDescent="0.25">
      <c r="A302" s="2" t="s">
        <v>581</v>
      </c>
      <c r="B302" s="8">
        <v>51</v>
      </c>
      <c r="C302" s="2" t="s">
        <v>26</v>
      </c>
      <c r="D302" s="8" t="s">
        <v>28</v>
      </c>
      <c r="E302" s="2">
        <v>17</v>
      </c>
      <c r="F302" s="2">
        <v>17</v>
      </c>
      <c r="G302" s="2">
        <v>31</v>
      </c>
      <c r="H302" s="2">
        <v>14</v>
      </c>
      <c r="I302" s="2">
        <v>61</v>
      </c>
      <c r="J302" s="2">
        <v>62</v>
      </c>
      <c r="K302" s="2">
        <v>32</v>
      </c>
      <c r="L302" s="2" t="s">
        <v>21</v>
      </c>
      <c r="M302" s="2">
        <v>2</v>
      </c>
      <c r="N302" s="2">
        <v>1</v>
      </c>
      <c r="O302" s="2">
        <v>0</v>
      </c>
      <c r="P302" s="2">
        <v>0</v>
      </c>
      <c r="Q302" s="2">
        <v>0</v>
      </c>
      <c r="R302" s="2">
        <v>5</v>
      </c>
      <c r="S302" s="2">
        <v>2</v>
      </c>
      <c r="T302" s="2">
        <v>0</v>
      </c>
      <c r="U302" s="2">
        <v>0</v>
      </c>
      <c r="V302" s="2">
        <v>0</v>
      </c>
      <c r="W302" s="2">
        <v>0</v>
      </c>
      <c r="X302" s="2">
        <v>6</v>
      </c>
      <c r="Y302">
        <f t="shared" si="8"/>
        <v>5</v>
      </c>
      <c r="Z302">
        <f t="shared" si="9"/>
        <v>2.2000000000000002</v>
      </c>
    </row>
    <row r="303" spans="1:26" x14ac:dyDescent="0.25">
      <c r="A303" s="2" t="s">
        <v>582</v>
      </c>
      <c r="B303" s="8">
        <v>52</v>
      </c>
      <c r="C303" s="2" t="s">
        <v>26</v>
      </c>
      <c r="D303" s="8" t="s">
        <v>28</v>
      </c>
      <c r="E303" s="2">
        <v>12</v>
      </c>
      <c r="F303" s="2">
        <v>14</v>
      </c>
      <c r="G303" s="2"/>
      <c r="H303" s="2">
        <v>28</v>
      </c>
      <c r="I303" s="2"/>
      <c r="J303" s="2">
        <v>50</v>
      </c>
      <c r="K303" s="2">
        <v>31</v>
      </c>
      <c r="L303" s="2" t="s">
        <v>21</v>
      </c>
      <c r="M303" s="2"/>
      <c r="N303" s="2"/>
      <c r="O303" s="2"/>
      <c r="P303" s="2"/>
      <c r="Q303" s="2"/>
      <c r="R303" s="2"/>
      <c r="S303" s="2">
        <v>2</v>
      </c>
      <c r="T303" s="2">
        <v>0</v>
      </c>
      <c r="U303" s="2">
        <v>0</v>
      </c>
      <c r="V303" s="2">
        <v>0</v>
      </c>
      <c r="W303" s="2">
        <v>0</v>
      </c>
      <c r="X303" s="2">
        <v>6</v>
      </c>
      <c r="Y303">
        <f t="shared" si="8"/>
        <v>2</v>
      </c>
      <c r="Z303">
        <f t="shared" si="9"/>
        <v>3</v>
      </c>
    </row>
    <row r="304" spans="1:26" x14ac:dyDescent="0.25">
      <c r="A304" s="2" t="s">
        <v>583</v>
      </c>
      <c r="B304" s="8">
        <v>53</v>
      </c>
      <c r="C304" s="2" t="s">
        <v>26</v>
      </c>
      <c r="D304" s="8" t="s">
        <v>28</v>
      </c>
      <c r="E304" s="2">
        <v>13.5</v>
      </c>
      <c r="F304" s="2">
        <v>1</v>
      </c>
      <c r="G304" s="2">
        <v>10</v>
      </c>
      <c r="H304" s="2">
        <v>22</v>
      </c>
      <c r="I304" s="2">
        <v>40</v>
      </c>
      <c r="J304" s="2">
        <v>43</v>
      </c>
      <c r="K304" s="2">
        <v>30</v>
      </c>
      <c r="L304" s="2">
        <v>474</v>
      </c>
      <c r="M304" s="2">
        <v>1</v>
      </c>
      <c r="N304" s="2">
        <v>0</v>
      </c>
      <c r="O304" s="2">
        <v>0</v>
      </c>
      <c r="P304" s="2">
        <v>0</v>
      </c>
      <c r="Q304" s="2">
        <v>0</v>
      </c>
      <c r="R304" s="2">
        <v>2</v>
      </c>
      <c r="S304" s="2">
        <v>2</v>
      </c>
      <c r="T304" s="2">
        <v>0</v>
      </c>
      <c r="U304" s="2">
        <v>0</v>
      </c>
      <c r="V304" s="2">
        <v>0</v>
      </c>
      <c r="W304" s="2">
        <v>0</v>
      </c>
      <c r="X304" s="2">
        <v>3</v>
      </c>
      <c r="Y304">
        <f t="shared" si="8"/>
        <v>3</v>
      </c>
      <c r="Z304">
        <f t="shared" si="9"/>
        <v>1.6666666666666667</v>
      </c>
    </row>
    <row r="305" spans="1:26" x14ac:dyDescent="0.25">
      <c r="A305" s="2" t="s">
        <v>584</v>
      </c>
      <c r="B305" s="8">
        <v>54</v>
      </c>
      <c r="C305" s="2" t="s">
        <v>26</v>
      </c>
      <c r="D305" s="8" t="s">
        <v>28</v>
      </c>
      <c r="E305" s="2">
        <v>12</v>
      </c>
      <c r="F305" s="2">
        <v>17</v>
      </c>
      <c r="G305" s="2">
        <v>11</v>
      </c>
      <c r="H305" s="2">
        <v>12</v>
      </c>
      <c r="I305" s="2">
        <v>53</v>
      </c>
      <c r="J305" s="2">
        <v>60</v>
      </c>
      <c r="K305" s="2">
        <v>29</v>
      </c>
      <c r="L305" s="2" t="s">
        <v>21</v>
      </c>
      <c r="M305" s="2">
        <v>1</v>
      </c>
      <c r="N305" s="2">
        <v>0</v>
      </c>
      <c r="O305" s="2">
        <v>0</v>
      </c>
      <c r="P305" s="2">
        <v>0</v>
      </c>
      <c r="Q305" s="2">
        <v>0</v>
      </c>
      <c r="R305" s="2">
        <v>3</v>
      </c>
      <c r="S305" s="2">
        <v>1</v>
      </c>
      <c r="T305" s="2">
        <v>0</v>
      </c>
      <c r="U305" s="2">
        <v>0</v>
      </c>
      <c r="V305" s="2">
        <v>0</v>
      </c>
      <c r="W305" s="2">
        <v>0</v>
      </c>
      <c r="X305" s="2">
        <v>3</v>
      </c>
      <c r="Y305">
        <f t="shared" si="8"/>
        <v>2</v>
      </c>
      <c r="Z305">
        <f t="shared" si="9"/>
        <v>3</v>
      </c>
    </row>
    <row r="306" spans="1:26" x14ac:dyDescent="0.25">
      <c r="A306" s="2" t="s">
        <v>585</v>
      </c>
      <c r="B306" s="8">
        <v>55</v>
      </c>
      <c r="C306" s="2" t="s">
        <v>26</v>
      </c>
      <c r="D306" s="8" t="s">
        <v>28</v>
      </c>
      <c r="E306" s="2">
        <v>17.5</v>
      </c>
      <c r="F306" s="2">
        <v>12</v>
      </c>
      <c r="G306" s="2">
        <v>24</v>
      </c>
      <c r="H306" s="2">
        <v>46</v>
      </c>
      <c r="I306" s="2">
        <v>41</v>
      </c>
      <c r="J306" s="2">
        <v>54</v>
      </c>
      <c r="K306" s="2">
        <v>29</v>
      </c>
      <c r="L306" s="2">
        <v>543</v>
      </c>
      <c r="M306" s="2">
        <v>1</v>
      </c>
      <c r="N306" s="2">
        <v>0</v>
      </c>
      <c r="O306" s="2">
        <v>0</v>
      </c>
      <c r="P306" s="2">
        <v>0</v>
      </c>
      <c r="Q306" s="2">
        <v>0</v>
      </c>
      <c r="R306" s="2">
        <v>1</v>
      </c>
      <c r="S306" s="2">
        <v>2</v>
      </c>
      <c r="T306" s="2">
        <v>0</v>
      </c>
      <c r="U306" s="2">
        <v>0</v>
      </c>
      <c r="V306" s="2">
        <v>0</v>
      </c>
      <c r="W306" s="2">
        <v>0</v>
      </c>
      <c r="X306" s="2">
        <v>10</v>
      </c>
      <c r="Y306">
        <f t="shared" si="8"/>
        <v>3</v>
      </c>
      <c r="Z306">
        <f t="shared" si="9"/>
        <v>3.6666666666666665</v>
      </c>
    </row>
    <row r="307" spans="1:26" x14ac:dyDescent="0.25">
      <c r="A307" s="2" t="s">
        <v>586</v>
      </c>
      <c r="B307" s="8">
        <v>56</v>
      </c>
      <c r="C307" s="2" t="s">
        <v>26</v>
      </c>
      <c r="D307" s="8" t="s">
        <v>28</v>
      </c>
      <c r="E307" s="2">
        <v>15</v>
      </c>
      <c r="F307" s="2">
        <v>6</v>
      </c>
      <c r="G307" s="2"/>
      <c r="H307" s="2"/>
      <c r="I307" s="2"/>
      <c r="J307" s="2"/>
      <c r="K307" s="2">
        <v>35</v>
      </c>
      <c r="L307" s="2" t="s">
        <v>21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>
        <f t="shared" si="8"/>
        <v>0</v>
      </c>
      <c r="Z307" t="e">
        <f t="shared" si="9"/>
        <v>#DIV/0!</v>
      </c>
    </row>
    <row r="308" spans="1:26" x14ac:dyDescent="0.25">
      <c r="A308" s="2" t="s">
        <v>587</v>
      </c>
      <c r="B308" s="8">
        <v>57</v>
      </c>
      <c r="C308" s="2" t="s">
        <v>26</v>
      </c>
      <c r="D308" s="8" t="s">
        <v>28</v>
      </c>
      <c r="E308" s="2">
        <v>15</v>
      </c>
      <c r="F308" s="2" t="s">
        <v>21</v>
      </c>
      <c r="G308" s="2"/>
      <c r="H308" s="2"/>
      <c r="I308" s="2"/>
      <c r="J308" s="2"/>
      <c r="K308" s="2">
        <v>31</v>
      </c>
      <c r="L308" s="2" t="s">
        <v>21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>
        <f t="shared" si="8"/>
        <v>0</v>
      </c>
      <c r="Z308" t="e">
        <f t="shared" si="9"/>
        <v>#DIV/0!</v>
      </c>
    </row>
    <row r="309" spans="1:26" x14ac:dyDescent="0.25">
      <c r="A309" s="2" t="s">
        <v>588</v>
      </c>
      <c r="B309" s="8">
        <v>58</v>
      </c>
      <c r="C309" s="2" t="s">
        <v>26</v>
      </c>
      <c r="D309" s="8" t="s">
        <v>28</v>
      </c>
      <c r="E309" s="2">
        <v>15</v>
      </c>
      <c r="F309" s="2" t="s">
        <v>21</v>
      </c>
      <c r="G309" s="2">
        <v>12</v>
      </c>
      <c r="H309" s="2"/>
      <c r="I309" s="2">
        <v>62</v>
      </c>
      <c r="J309" s="2"/>
      <c r="K309" s="2">
        <v>37</v>
      </c>
      <c r="L309" s="2" t="s">
        <v>21</v>
      </c>
      <c r="M309" s="2">
        <v>1</v>
      </c>
      <c r="N309" s="2">
        <v>0</v>
      </c>
      <c r="O309" s="2">
        <v>2</v>
      </c>
      <c r="P309" s="2">
        <v>0</v>
      </c>
      <c r="Q309" s="2">
        <v>0</v>
      </c>
      <c r="R309" s="2">
        <v>5</v>
      </c>
      <c r="S309" s="2"/>
      <c r="T309" s="2"/>
      <c r="U309" s="2"/>
      <c r="V309" s="2"/>
      <c r="W309" s="2"/>
      <c r="X309" s="2"/>
      <c r="Y309">
        <f t="shared" si="8"/>
        <v>3</v>
      </c>
      <c r="Z309">
        <f t="shared" si="9"/>
        <v>1.6666666666666667</v>
      </c>
    </row>
    <row r="310" spans="1:26" x14ac:dyDescent="0.25">
      <c r="A310" s="2" t="s">
        <v>589</v>
      </c>
      <c r="B310" s="8">
        <v>59</v>
      </c>
      <c r="C310" s="2" t="s">
        <v>26</v>
      </c>
      <c r="D310" s="8" t="s">
        <v>28</v>
      </c>
      <c r="E310" s="2">
        <v>14.5</v>
      </c>
      <c r="F310" s="2" t="s">
        <v>21</v>
      </c>
      <c r="G310" s="2">
        <v>22</v>
      </c>
      <c r="H310" s="2">
        <v>11</v>
      </c>
      <c r="I310" s="2">
        <v>42</v>
      </c>
      <c r="J310" s="2">
        <v>48</v>
      </c>
      <c r="K310" s="2">
        <v>32</v>
      </c>
      <c r="L310" s="2" t="s">
        <v>21</v>
      </c>
      <c r="M310" s="2">
        <v>1</v>
      </c>
      <c r="N310" s="2">
        <v>1</v>
      </c>
      <c r="O310" s="2">
        <v>0</v>
      </c>
      <c r="P310" s="2">
        <v>0</v>
      </c>
      <c r="Q310" s="2">
        <v>0</v>
      </c>
      <c r="R310" s="2">
        <v>2</v>
      </c>
      <c r="S310" s="2">
        <v>1</v>
      </c>
      <c r="T310" s="2">
        <v>0</v>
      </c>
      <c r="U310" s="2">
        <v>0</v>
      </c>
      <c r="V310" s="2">
        <v>0</v>
      </c>
      <c r="W310" s="2">
        <v>0</v>
      </c>
      <c r="X310" s="2">
        <v>1</v>
      </c>
      <c r="Y310">
        <f t="shared" si="8"/>
        <v>3</v>
      </c>
      <c r="Z310">
        <f t="shared" si="9"/>
        <v>1</v>
      </c>
    </row>
    <row r="311" spans="1:26" x14ac:dyDescent="0.25">
      <c r="A311" s="2" t="s">
        <v>590</v>
      </c>
      <c r="B311" s="8">
        <v>60</v>
      </c>
      <c r="C311" s="2" t="s">
        <v>26</v>
      </c>
      <c r="D311" s="8" t="s">
        <v>28</v>
      </c>
      <c r="E311" s="2">
        <v>13</v>
      </c>
      <c r="F311" s="2">
        <v>17</v>
      </c>
      <c r="G311" s="2">
        <v>26</v>
      </c>
      <c r="H311" s="2"/>
      <c r="I311" s="2">
        <v>39</v>
      </c>
      <c r="J311" s="2"/>
      <c r="K311" s="2">
        <v>36</v>
      </c>
      <c r="L311" s="2" t="s">
        <v>21</v>
      </c>
      <c r="M311" s="2">
        <v>2</v>
      </c>
      <c r="N311" s="2">
        <v>0</v>
      </c>
      <c r="O311" s="2">
        <v>0</v>
      </c>
      <c r="P311" s="2">
        <v>0</v>
      </c>
      <c r="Q311" s="2">
        <v>0</v>
      </c>
      <c r="R311" s="2">
        <v>6</v>
      </c>
      <c r="S311" s="2"/>
      <c r="T311" s="2"/>
      <c r="U311" s="2"/>
      <c r="V311" s="2"/>
      <c r="W311" s="2"/>
      <c r="X311" s="2"/>
      <c r="Y311">
        <f t="shared" si="8"/>
        <v>2</v>
      </c>
      <c r="Z311">
        <f t="shared" si="9"/>
        <v>3</v>
      </c>
    </row>
    <row r="312" spans="1:26" x14ac:dyDescent="0.25">
      <c r="A312" s="2" t="s">
        <v>591</v>
      </c>
      <c r="B312" s="8">
        <v>61</v>
      </c>
      <c r="C312" s="2" t="s">
        <v>26</v>
      </c>
      <c r="D312" s="8" t="s">
        <v>28</v>
      </c>
      <c r="E312" s="2">
        <v>14</v>
      </c>
      <c r="F312" s="2" t="s">
        <v>21</v>
      </c>
      <c r="G312" s="2"/>
      <c r="H312" s="2"/>
      <c r="I312" s="2"/>
      <c r="J312" s="2"/>
      <c r="K312" s="2">
        <v>31</v>
      </c>
      <c r="L312" s="2" t="s">
        <v>21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>
        <f t="shared" si="8"/>
        <v>0</v>
      </c>
      <c r="Z312" t="e">
        <f t="shared" si="9"/>
        <v>#DIV/0!</v>
      </c>
    </row>
    <row r="313" spans="1:26" x14ac:dyDescent="0.25">
      <c r="A313" s="2" t="s">
        <v>539</v>
      </c>
      <c r="B313" s="8" t="s">
        <v>540</v>
      </c>
      <c r="C313" s="2" t="s">
        <v>26</v>
      </c>
      <c r="D313" s="8" t="s">
        <v>28</v>
      </c>
      <c r="E313" s="2">
        <v>15</v>
      </c>
      <c r="F313" s="2">
        <v>16</v>
      </c>
      <c r="G313" s="2">
        <v>21</v>
      </c>
      <c r="H313" s="2"/>
      <c r="I313" s="2">
        <v>40</v>
      </c>
      <c r="J313" s="2"/>
      <c r="K313" s="2">
        <v>30</v>
      </c>
      <c r="L313" s="2">
        <v>253</v>
      </c>
      <c r="M313" s="2">
        <v>2</v>
      </c>
      <c r="N313" s="2">
        <v>0</v>
      </c>
      <c r="O313" s="2">
        <v>0</v>
      </c>
      <c r="P313" s="2">
        <v>0</v>
      </c>
      <c r="Q313" s="2">
        <v>0</v>
      </c>
      <c r="R313" s="2">
        <v>6</v>
      </c>
      <c r="S313" s="2"/>
      <c r="T313" s="2"/>
      <c r="U313" s="2"/>
      <c r="V313" s="2"/>
      <c r="W313" s="2"/>
      <c r="X313" s="2"/>
      <c r="Y313">
        <f t="shared" si="8"/>
        <v>2</v>
      </c>
      <c r="Z313">
        <f t="shared" si="9"/>
        <v>3</v>
      </c>
    </row>
    <row r="314" spans="1:26" x14ac:dyDescent="0.25">
      <c r="A314" s="2" t="s">
        <v>554</v>
      </c>
      <c r="B314" s="8" t="s">
        <v>488</v>
      </c>
      <c r="C314" s="2" t="s">
        <v>26</v>
      </c>
      <c r="D314" s="8" t="s">
        <v>28</v>
      </c>
      <c r="E314" s="2">
        <v>15.5</v>
      </c>
      <c r="F314" s="2">
        <v>6</v>
      </c>
      <c r="G314" s="2">
        <v>25</v>
      </c>
      <c r="H314" s="2"/>
      <c r="I314" s="2">
        <v>45</v>
      </c>
      <c r="J314" s="2"/>
      <c r="K314" s="2">
        <v>32</v>
      </c>
      <c r="L314" s="2" t="s">
        <v>21</v>
      </c>
      <c r="M314" s="2">
        <v>1</v>
      </c>
      <c r="N314" s="2">
        <v>0</v>
      </c>
      <c r="O314" s="2">
        <v>0</v>
      </c>
      <c r="P314" s="2">
        <v>0</v>
      </c>
      <c r="Q314" s="2">
        <v>0</v>
      </c>
      <c r="R314" s="2">
        <v>8</v>
      </c>
      <c r="S314" s="2"/>
      <c r="T314" s="2"/>
      <c r="U314" s="2"/>
      <c r="V314" s="2"/>
      <c r="W314" s="2"/>
      <c r="X314" s="2"/>
      <c r="Y314">
        <f t="shared" si="8"/>
        <v>1</v>
      </c>
      <c r="Z314">
        <f t="shared" si="9"/>
        <v>8</v>
      </c>
    </row>
    <row r="315" spans="1:26" x14ac:dyDescent="0.25">
      <c r="A315" s="2" t="s">
        <v>561</v>
      </c>
      <c r="B315" s="8" t="s">
        <v>562</v>
      </c>
      <c r="C315" s="2" t="s">
        <v>26</v>
      </c>
      <c r="D315" s="8" t="s">
        <v>28</v>
      </c>
      <c r="E315" s="2">
        <v>15</v>
      </c>
      <c r="F315" s="2">
        <v>16.5</v>
      </c>
      <c r="G315" s="2">
        <v>17</v>
      </c>
      <c r="H315" s="2">
        <v>32</v>
      </c>
      <c r="I315" s="2">
        <v>52</v>
      </c>
      <c r="J315" s="2">
        <v>62</v>
      </c>
      <c r="K315" s="2">
        <v>29</v>
      </c>
      <c r="L315" s="2" t="s">
        <v>21</v>
      </c>
      <c r="M315" s="2">
        <v>2</v>
      </c>
      <c r="N315" s="2">
        <v>0</v>
      </c>
      <c r="O315" s="2">
        <v>0</v>
      </c>
      <c r="P315" s="2">
        <v>0</v>
      </c>
      <c r="Q315" s="2">
        <v>0</v>
      </c>
      <c r="R315" s="2">
        <v>11</v>
      </c>
      <c r="S315" s="2">
        <v>1</v>
      </c>
      <c r="T315" s="2">
        <v>0</v>
      </c>
      <c r="U315" s="2">
        <v>0</v>
      </c>
      <c r="V315" s="2">
        <v>0</v>
      </c>
      <c r="W315" s="2">
        <v>0</v>
      </c>
      <c r="X315" s="2">
        <v>1</v>
      </c>
      <c r="Y315">
        <f t="shared" si="8"/>
        <v>3</v>
      </c>
      <c r="Z315">
        <f t="shared" si="9"/>
        <v>4</v>
      </c>
    </row>
    <row r="316" spans="1:26" x14ac:dyDescent="0.25">
      <c r="A316" s="2" t="s">
        <v>531</v>
      </c>
      <c r="B316" s="8" t="s">
        <v>399</v>
      </c>
      <c r="C316" s="2" t="s">
        <v>26</v>
      </c>
      <c r="D316" s="8" t="s">
        <v>28</v>
      </c>
      <c r="E316" s="2">
        <v>16.5</v>
      </c>
      <c r="F316" s="2">
        <v>11</v>
      </c>
      <c r="G316" s="2">
        <v>31</v>
      </c>
      <c r="H316" s="2"/>
      <c r="I316" s="2">
        <v>36</v>
      </c>
      <c r="J316" s="2"/>
      <c r="K316" s="2">
        <v>33</v>
      </c>
      <c r="L316" s="2">
        <v>237</v>
      </c>
      <c r="M316" s="2">
        <v>1</v>
      </c>
      <c r="N316" s="2">
        <v>1</v>
      </c>
      <c r="O316" s="2">
        <v>0</v>
      </c>
      <c r="P316" s="2">
        <v>0</v>
      </c>
      <c r="Q316" s="2">
        <v>0</v>
      </c>
      <c r="R316" s="2">
        <v>3</v>
      </c>
      <c r="S316" s="2"/>
      <c r="T316" s="2"/>
      <c r="U316" s="2"/>
      <c r="V316" s="2"/>
      <c r="W316" s="2"/>
      <c r="X316" s="2"/>
      <c r="Y316">
        <f t="shared" si="8"/>
        <v>2</v>
      </c>
      <c r="Z316">
        <f t="shared" si="9"/>
        <v>1.5</v>
      </c>
    </row>
    <row r="317" spans="1:26" x14ac:dyDescent="0.25">
      <c r="A317" s="2" t="s">
        <v>642</v>
      </c>
      <c r="B317" s="8">
        <v>41</v>
      </c>
      <c r="C317" s="2" t="s">
        <v>23</v>
      </c>
      <c r="D317" s="8" t="s">
        <v>28</v>
      </c>
      <c r="E317" s="2">
        <v>21</v>
      </c>
      <c r="F317" s="2">
        <v>20</v>
      </c>
      <c r="G317" s="2">
        <v>69</v>
      </c>
      <c r="H317" s="2">
        <v>67</v>
      </c>
      <c r="I317" s="2">
        <v>40</v>
      </c>
      <c r="J317" s="2">
        <v>76</v>
      </c>
      <c r="K317" s="2">
        <v>32</v>
      </c>
      <c r="L317" s="2">
        <v>1022</v>
      </c>
      <c r="M317" s="2">
        <v>2</v>
      </c>
      <c r="N317" s="2">
        <v>0</v>
      </c>
      <c r="O317" s="2">
        <v>0</v>
      </c>
      <c r="P317" s="2">
        <v>0</v>
      </c>
      <c r="Q317" s="2">
        <v>0</v>
      </c>
      <c r="R317" s="2">
        <v>13</v>
      </c>
      <c r="S317" s="2">
        <v>3</v>
      </c>
      <c r="T317" s="2">
        <v>1</v>
      </c>
      <c r="U317" s="2">
        <v>0</v>
      </c>
      <c r="V317" s="2">
        <v>0</v>
      </c>
      <c r="W317" s="2">
        <v>0</v>
      </c>
      <c r="X317" s="2">
        <v>41</v>
      </c>
      <c r="Y317">
        <f t="shared" si="8"/>
        <v>6</v>
      </c>
      <c r="Z317">
        <f t="shared" si="9"/>
        <v>9</v>
      </c>
    </row>
    <row r="318" spans="1:26" x14ac:dyDescent="0.25">
      <c r="A318" s="2" t="s">
        <v>643</v>
      </c>
      <c r="B318" s="8">
        <v>42</v>
      </c>
      <c r="C318" s="2" t="s">
        <v>23</v>
      </c>
      <c r="D318" s="8" t="s">
        <v>28</v>
      </c>
      <c r="E318" s="2">
        <v>26</v>
      </c>
      <c r="F318" s="2">
        <v>33</v>
      </c>
      <c r="G318" s="2">
        <v>18</v>
      </c>
      <c r="H318" s="2"/>
      <c r="I318" s="2">
        <v>55</v>
      </c>
      <c r="J318" s="2"/>
      <c r="K318" s="2">
        <v>37</v>
      </c>
      <c r="L318" s="2" t="s">
        <v>21</v>
      </c>
      <c r="M318" s="2">
        <v>3</v>
      </c>
      <c r="N318" s="2">
        <v>1</v>
      </c>
      <c r="O318" s="2">
        <v>0</v>
      </c>
      <c r="P318" s="2">
        <v>0</v>
      </c>
      <c r="Q318" s="2">
        <v>0</v>
      </c>
      <c r="R318" s="2">
        <v>13</v>
      </c>
      <c r="S318" s="2"/>
      <c r="T318" s="2"/>
      <c r="U318" s="2"/>
      <c r="V318" s="2"/>
      <c r="W318" s="2"/>
      <c r="X318" s="2"/>
      <c r="Y318">
        <f t="shared" si="8"/>
        <v>4</v>
      </c>
      <c r="Z318">
        <f t="shared" si="9"/>
        <v>3.25</v>
      </c>
    </row>
    <row r="319" spans="1:26" x14ac:dyDescent="0.25">
      <c r="A319" s="2" t="s">
        <v>644</v>
      </c>
      <c r="B319" s="8">
        <v>43</v>
      </c>
      <c r="C319" s="2" t="s">
        <v>23</v>
      </c>
      <c r="D319" s="8" t="s">
        <v>28</v>
      </c>
      <c r="E319" s="2">
        <v>22</v>
      </c>
      <c r="F319" s="2">
        <v>15</v>
      </c>
      <c r="G319" s="2">
        <v>30</v>
      </c>
      <c r="H319" s="2">
        <v>24</v>
      </c>
      <c r="I319" s="2">
        <v>57</v>
      </c>
      <c r="J319" s="2">
        <v>64</v>
      </c>
      <c r="K319" s="2">
        <v>30</v>
      </c>
      <c r="L319" s="2">
        <v>384</v>
      </c>
      <c r="M319" s="2">
        <v>2</v>
      </c>
      <c r="N319" s="2">
        <v>0</v>
      </c>
      <c r="O319" s="2">
        <v>0</v>
      </c>
      <c r="P319" s="2">
        <v>0</v>
      </c>
      <c r="Q319" s="2">
        <v>0</v>
      </c>
      <c r="R319" s="2">
        <v>7</v>
      </c>
      <c r="S319" s="2">
        <v>2</v>
      </c>
      <c r="T319" s="2">
        <v>0</v>
      </c>
      <c r="U319" s="2">
        <v>0</v>
      </c>
      <c r="V319" s="2">
        <v>1</v>
      </c>
      <c r="W319" s="2">
        <v>0</v>
      </c>
      <c r="X319" s="2">
        <v>9</v>
      </c>
      <c r="Y319">
        <f t="shared" si="8"/>
        <v>5</v>
      </c>
      <c r="Z319">
        <f t="shared" si="9"/>
        <v>3.2</v>
      </c>
    </row>
    <row r="320" spans="1:26" x14ac:dyDescent="0.25">
      <c r="A320" s="2" t="s">
        <v>645</v>
      </c>
      <c r="B320" s="8">
        <v>44</v>
      </c>
      <c r="C320" s="2" t="s">
        <v>23</v>
      </c>
      <c r="D320" s="8" t="s">
        <v>28</v>
      </c>
      <c r="E320" s="2">
        <v>25</v>
      </c>
      <c r="F320" s="2">
        <v>1</v>
      </c>
      <c r="G320" s="2">
        <v>91</v>
      </c>
      <c r="H320" s="2"/>
      <c r="I320" s="2">
        <v>60</v>
      </c>
      <c r="J320" s="2"/>
      <c r="K320" s="2">
        <v>37</v>
      </c>
      <c r="L320" s="2">
        <v>497</v>
      </c>
      <c r="M320" s="2">
        <v>9</v>
      </c>
      <c r="N320" s="2">
        <v>1</v>
      </c>
      <c r="O320" s="2">
        <v>0</v>
      </c>
      <c r="P320" s="2">
        <v>0</v>
      </c>
      <c r="Q320" s="2">
        <v>0</v>
      </c>
      <c r="R320" s="2">
        <v>59</v>
      </c>
      <c r="S320" s="2"/>
      <c r="T320" s="2"/>
      <c r="U320" s="2"/>
      <c r="V320" s="2"/>
      <c r="W320" s="2"/>
      <c r="X320" s="2"/>
      <c r="Y320">
        <f t="shared" si="8"/>
        <v>10</v>
      </c>
      <c r="Z320">
        <f t="shared" si="9"/>
        <v>5.9</v>
      </c>
    </row>
    <row r="321" spans="1:26" x14ac:dyDescent="0.25">
      <c r="A321" s="2" t="s">
        <v>646</v>
      </c>
      <c r="B321" s="8">
        <v>45</v>
      </c>
      <c r="C321" s="2" t="s">
        <v>23</v>
      </c>
      <c r="D321" s="8" t="s">
        <v>28</v>
      </c>
      <c r="E321" s="2">
        <v>17.5</v>
      </c>
      <c r="F321" s="2">
        <v>13</v>
      </c>
      <c r="G321" s="2">
        <v>35</v>
      </c>
      <c r="H321" s="2">
        <v>74</v>
      </c>
      <c r="I321" s="2">
        <v>55</v>
      </c>
      <c r="J321" s="2">
        <v>67</v>
      </c>
      <c r="K321" s="2">
        <v>28</v>
      </c>
      <c r="L321" s="2">
        <v>1038</v>
      </c>
      <c r="M321" s="2">
        <v>2</v>
      </c>
      <c r="N321" s="2">
        <v>0</v>
      </c>
      <c r="O321" s="2">
        <v>0</v>
      </c>
      <c r="P321" s="2">
        <v>0</v>
      </c>
      <c r="Q321" s="2">
        <v>0</v>
      </c>
      <c r="R321" s="2">
        <v>2</v>
      </c>
      <c r="S321" s="2">
        <v>3</v>
      </c>
      <c r="T321" s="2">
        <v>0</v>
      </c>
      <c r="U321" s="2">
        <v>1</v>
      </c>
      <c r="V321" s="2">
        <v>0</v>
      </c>
      <c r="W321" s="2">
        <v>0</v>
      </c>
      <c r="X321" s="2">
        <v>30</v>
      </c>
      <c r="Y321">
        <f t="shared" si="8"/>
        <v>6</v>
      </c>
      <c r="Z321">
        <f t="shared" si="9"/>
        <v>5.333333333333333</v>
      </c>
    </row>
    <row r="322" spans="1:26" x14ac:dyDescent="0.25">
      <c r="A322" s="2" t="s">
        <v>647</v>
      </c>
      <c r="B322" s="8">
        <v>46</v>
      </c>
      <c r="C322" s="2" t="s">
        <v>23</v>
      </c>
      <c r="D322" s="8" t="s">
        <v>28</v>
      </c>
      <c r="E322" s="2">
        <v>23</v>
      </c>
      <c r="F322" s="2">
        <v>16</v>
      </c>
      <c r="G322" s="2">
        <v>38</v>
      </c>
      <c r="H322" s="2"/>
      <c r="I322" s="2">
        <v>50</v>
      </c>
      <c r="J322" s="2"/>
      <c r="K322" s="2">
        <v>30</v>
      </c>
      <c r="L322" s="2">
        <v>10484</v>
      </c>
      <c r="M322" s="2">
        <v>1</v>
      </c>
      <c r="N322" s="2">
        <v>0</v>
      </c>
      <c r="O322" s="2">
        <v>1</v>
      </c>
      <c r="P322" s="2">
        <v>0</v>
      </c>
      <c r="Q322" s="2">
        <v>0</v>
      </c>
      <c r="R322" s="2">
        <v>3</v>
      </c>
      <c r="S322" s="2"/>
      <c r="T322" s="2"/>
      <c r="U322" s="2"/>
      <c r="V322" s="2"/>
      <c r="W322" s="2"/>
      <c r="X322" s="2"/>
      <c r="Y322">
        <f t="shared" si="8"/>
        <v>2</v>
      </c>
      <c r="Z322">
        <f t="shared" si="9"/>
        <v>1.5</v>
      </c>
    </row>
    <row r="323" spans="1:26" x14ac:dyDescent="0.25">
      <c r="A323" s="2" t="s">
        <v>648</v>
      </c>
      <c r="B323" s="8">
        <v>47</v>
      </c>
      <c r="C323" s="2" t="s">
        <v>23</v>
      </c>
      <c r="D323" s="8" t="s">
        <v>28</v>
      </c>
      <c r="E323" s="2">
        <v>22.5</v>
      </c>
      <c r="F323" s="2">
        <v>9</v>
      </c>
      <c r="G323" s="2">
        <v>30</v>
      </c>
      <c r="H323" s="2">
        <v>27</v>
      </c>
      <c r="I323" s="2">
        <v>58</v>
      </c>
      <c r="J323" s="2">
        <v>62</v>
      </c>
      <c r="K323" s="2">
        <v>30</v>
      </c>
      <c r="L323" s="2">
        <v>178</v>
      </c>
      <c r="M323" s="2">
        <v>3</v>
      </c>
      <c r="N323" s="2">
        <v>0</v>
      </c>
      <c r="O323" s="2">
        <v>0</v>
      </c>
      <c r="P323" s="2">
        <v>0</v>
      </c>
      <c r="Q323" s="2">
        <v>0</v>
      </c>
      <c r="R323" s="2">
        <v>15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1</v>
      </c>
      <c r="Y323">
        <f t="shared" ref="Y323:Y386" si="10">SUM(M323:Q323,S323:W323)</f>
        <v>4</v>
      </c>
      <c r="Z323">
        <f t="shared" ref="Z323:Z386" si="11">(R323+X323) / (SUM(M323:Q323) + (SUM(S323:W323)))</f>
        <v>4</v>
      </c>
    </row>
    <row r="324" spans="1:26" x14ac:dyDescent="0.25">
      <c r="A324" s="2" t="s">
        <v>649</v>
      </c>
      <c r="B324" s="8">
        <v>48</v>
      </c>
      <c r="C324" s="2" t="s">
        <v>23</v>
      </c>
      <c r="D324" s="8" t="s">
        <v>28</v>
      </c>
      <c r="E324" s="2">
        <v>22</v>
      </c>
      <c r="F324" s="2">
        <v>22</v>
      </c>
      <c r="G324" s="2">
        <v>29</v>
      </c>
      <c r="H324" s="2">
        <v>54</v>
      </c>
      <c r="I324" s="2">
        <v>53</v>
      </c>
      <c r="J324" s="2">
        <v>62</v>
      </c>
      <c r="K324" s="2">
        <v>32</v>
      </c>
      <c r="L324" s="2">
        <v>238</v>
      </c>
      <c r="M324" s="2">
        <v>1</v>
      </c>
      <c r="N324" s="2">
        <v>0</v>
      </c>
      <c r="O324" s="2">
        <v>0</v>
      </c>
      <c r="P324" s="2">
        <v>0</v>
      </c>
      <c r="Q324" s="2">
        <v>0</v>
      </c>
      <c r="R324" s="2">
        <v>3</v>
      </c>
      <c r="S324" s="2">
        <v>2</v>
      </c>
      <c r="T324" s="2">
        <v>0</v>
      </c>
      <c r="U324" s="2">
        <v>0</v>
      </c>
      <c r="V324" s="2">
        <v>1</v>
      </c>
      <c r="W324" s="2">
        <v>0</v>
      </c>
      <c r="X324" s="2">
        <v>19</v>
      </c>
      <c r="Y324">
        <f t="shared" si="10"/>
        <v>4</v>
      </c>
      <c r="Z324">
        <f t="shared" si="11"/>
        <v>5.5</v>
      </c>
    </row>
    <row r="325" spans="1:26" x14ac:dyDescent="0.25">
      <c r="A325" s="2" t="s">
        <v>650</v>
      </c>
      <c r="B325" s="8">
        <v>49</v>
      </c>
      <c r="C325" s="2" t="s">
        <v>23</v>
      </c>
      <c r="D325" s="8" t="s">
        <v>28</v>
      </c>
      <c r="E325" s="2">
        <v>15</v>
      </c>
      <c r="F325" s="2">
        <v>19</v>
      </c>
      <c r="G325" s="2">
        <v>21</v>
      </c>
      <c r="H325" s="2">
        <v>36</v>
      </c>
      <c r="I325" s="2">
        <v>63</v>
      </c>
      <c r="J325" s="2">
        <v>72</v>
      </c>
      <c r="K325" s="2">
        <v>30</v>
      </c>
      <c r="L325" s="2">
        <v>388</v>
      </c>
      <c r="M325" s="2">
        <v>4</v>
      </c>
      <c r="N325" s="2">
        <v>0</v>
      </c>
      <c r="O325" s="2">
        <v>0</v>
      </c>
      <c r="P325" s="2">
        <v>1</v>
      </c>
      <c r="Q325" s="2">
        <v>0</v>
      </c>
      <c r="R325" s="2">
        <v>15</v>
      </c>
      <c r="S325" s="2">
        <v>1</v>
      </c>
      <c r="T325" s="2">
        <v>0</v>
      </c>
      <c r="U325" s="2">
        <v>0</v>
      </c>
      <c r="V325" s="2">
        <v>1</v>
      </c>
      <c r="W325" s="2">
        <v>0</v>
      </c>
      <c r="X325" s="2">
        <v>11</v>
      </c>
      <c r="Y325">
        <f t="shared" si="10"/>
        <v>7</v>
      </c>
      <c r="Z325">
        <f t="shared" si="11"/>
        <v>3.7142857142857144</v>
      </c>
    </row>
    <row r="326" spans="1:26" x14ac:dyDescent="0.25">
      <c r="A326" s="2" t="s">
        <v>651</v>
      </c>
      <c r="B326" s="8">
        <v>50</v>
      </c>
      <c r="C326" s="2" t="s">
        <v>23</v>
      </c>
      <c r="D326" s="8" t="s">
        <v>28</v>
      </c>
      <c r="E326" s="2">
        <v>17</v>
      </c>
      <c r="F326" s="2">
        <v>16</v>
      </c>
      <c r="G326" s="2">
        <v>47</v>
      </c>
      <c r="H326" s="2">
        <v>42</v>
      </c>
      <c r="I326" s="2">
        <v>63</v>
      </c>
      <c r="J326" s="2">
        <v>68</v>
      </c>
      <c r="K326" s="2">
        <v>30</v>
      </c>
      <c r="L326" s="2" t="s">
        <v>21</v>
      </c>
      <c r="M326" s="2">
        <v>2</v>
      </c>
      <c r="N326" s="2">
        <v>0</v>
      </c>
      <c r="O326" s="2">
        <v>0</v>
      </c>
      <c r="P326" s="2">
        <v>0</v>
      </c>
      <c r="Q326" s="2">
        <v>0</v>
      </c>
      <c r="R326" s="2">
        <v>29</v>
      </c>
      <c r="S326" s="2">
        <v>6</v>
      </c>
      <c r="T326" s="2">
        <v>0</v>
      </c>
      <c r="U326" s="2">
        <v>0</v>
      </c>
      <c r="V326" s="2">
        <v>0</v>
      </c>
      <c r="W326" s="2">
        <v>0</v>
      </c>
      <c r="X326" s="2">
        <v>4</v>
      </c>
      <c r="Y326">
        <f t="shared" si="10"/>
        <v>8</v>
      </c>
      <c r="Z326">
        <f t="shared" si="11"/>
        <v>4.125</v>
      </c>
    </row>
    <row r="327" spans="1:26" x14ac:dyDescent="0.25">
      <c r="A327" s="2" t="s">
        <v>652</v>
      </c>
      <c r="B327" s="8">
        <v>51</v>
      </c>
      <c r="C327" s="2" t="s">
        <v>23</v>
      </c>
      <c r="D327" s="8" t="s">
        <v>28</v>
      </c>
      <c r="E327" s="2">
        <v>23.5</v>
      </c>
      <c r="F327" s="2">
        <v>15</v>
      </c>
      <c r="G327" s="2">
        <v>52</v>
      </c>
      <c r="H327" s="2">
        <v>77</v>
      </c>
      <c r="I327" s="2">
        <v>40</v>
      </c>
      <c r="J327" s="2">
        <v>50</v>
      </c>
      <c r="K327" s="2">
        <v>35</v>
      </c>
      <c r="L327" s="2">
        <v>3535</v>
      </c>
      <c r="M327" s="2">
        <v>3</v>
      </c>
      <c r="N327" s="2">
        <v>0</v>
      </c>
      <c r="O327" s="2">
        <v>0</v>
      </c>
      <c r="P327" s="2">
        <v>0</v>
      </c>
      <c r="Q327" s="2">
        <v>0</v>
      </c>
      <c r="R327" s="2">
        <v>42</v>
      </c>
      <c r="S327" s="2">
        <v>3</v>
      </c>
      <c r="T327" s="2">
        <v>0</v>
      </c>
      <c r="U327" s="2">
        <v>2</v>
      </c>
      <c r="V327" s="2">
        <v>0</v>
      </c>
      <c r="W327" s="2">
        <v>0</v>
      </c>
      <c r="X327" s="2">
        <v>22</v>
      </c>
      <c r="Y327">
        <f t="shared" si="10"/>
        <v>8</v>
      </c>
      <c r="Z327">
        <f t="shared" si="11"/>
        <v>8</v>
      </c>
    </row>
    <row r="328" spans="1:26" x14ac:dyDescent="0.25">
      <c r="A328" s="2" t="s">
        <v>653</v>
      </c>
      <c r="B328" s="8">
        <v>52</v>
      </c>
      <c r="C328" s="2" t="s">
        <v>23</v>
      </c>
      <c r="D328" s="8" t="s">
        <v>28</v>
      </c>
      <c r="E328" s="2">
        <v>25</v>
      </c>
      <c r="F328" s="2">
        <v>28</v>
      </c>
      <c r="G328" s="2">
        <v>36</v>
      </c>
      <c r="H328" s="2">
        <v>107</v>
      </c>
      <c r="I328" s="2">
        <v>45</v>
      </c>
      <c r="J328" s="2">
        <v>57</v>
      </c>
      <c r="K328" s="2">
        <v>35</v>
      </c>
      <c r="L328" s="2" t="s">
        <v>21</v>
      </c>
      <c r="M328" s="2">
        <v>3</v>
      </c>
      <c r="N328" s="2">
        <v>0</v>
      </c>
      <c r="O328" s="2">
        <v>0</v>
      </c>
      <c r="P328" s="2">
        <v>1</v>
      </c>
      <c r="Q328" s="2">
        <v>0</v>
      </c>
      <c r="R328" s="2">
        <v>25</v>
      </c>
      <c r="S328" s="2">
        <v>4</v>
      </c>
      <c r="T328" s="2">
        <v>0</v>
      </c>
      <c r="U328" s="2">
        <v>0</v>
      </c>
      <c r="V328" s="2">
        <v>0</v>
      </c>
      <c r="W328" s="2">
        <v>0</v>
      </c>
      <c r="X328" s="2">
        <v>73</v>
      </c>
      <c r="Y328">
        <f t="shared" si="10"/>
        <v>8</v>
      </c>
      <c r="Z328">
        <f t="shared" si="11"/>
        <v>12.25</v>
      </c>
    </row>
    <row r="329" spans="1:26" x14ac:dyDescent="0.25">
      <c r="A329" s="2" t="s">
        <v>654</v>
      </c>
      <c r="B329" s="8">
        <v>53</v>
      </c>
      <c r="C329" s="2" t="s">
        <v>23</v>
      </c>
      <c r="D329" s="8" t="s">
        <v>28</v>
      </c>
      <c r="E329" s="2">
        <v>20</v>
      </c>
      <c r="F329" s="2">
        <v>34</v>
      </c>
      <c r="G329" s="2">
        <v>57</v>
      </c>
      <c r="H329" s="2">
        <v>135</v>
      </c>
      <c r="I329" s="2">
        <v>53</v>
      </c>
      <c r="J329" s="2">
        <v>52</v>
      </c>
      <c r="K329" s="2">
        <v>36</v>
      </c>
      <c r="L329" s="2" t="s">
        <v>21</v>
      </c>
      <c r="M329" s="2">
        <v>4</v>
      </c>
      <c r="N329" s="2">
        <v>0</v>
      </c>
      <c r="O329" s="2">
        <v>0</v>
      </c>
      <c r="P329" s="2">
        <v>0</v>
      </c>
      <c r="Q329" s="2">
        <v>0</v>
      </c>
      <c r="R329" s="2">
        <v>25</v>
      </c>
      <c r="S329" s="2">
        <v>2</v>
      </c>
      <c r="T329" s="2">
        <v>0</v>
      </c>
      <c r="U329" s="2">
        <v>1</v>
      </c>
      <c r="V329" s="2">
        <v>0</v>
      </c>
      <c r="W329" s="2">
        <v>0</v>
      </c>
      <c r="X329" s="2">
        <v>64</v>
      </c>
      <c r="Y329">
        <f t="shared" si="10"/>
        <v>7</v>
      </c>
      <c r="Z329">
        <f t="shared" si="11"/>
        <v>12.714285714285714</v>
      </c>
    </row>
    <row r="330" spans="1:26" x14ac:dyDescent="0.25">
      <c r="A330" s="2" t="s">
        <v>655</v>
      </c>
      <c r="B330" s="8">
        <v>54</v>
      </c>
      <c r="C330" s="2" t="s">
        <v>23</v>
      </c>
      <c r="D330" s="8" t="s">
        <v>28</v>
      </c>
      <c r="E330" s="2">
        <v>23</v>
      </c>
      <c r="F330" s="2" t="s">
        <v>21</v>
      </c>
      <c r="G330" s="2">
        <v>35</v>
      </c>
      <c r="H330" s="2"/>
      <c r="I330" s="2">
        <v>49</v>
      </c>
      <c r="J330" s="2"/>
      <c r="K330" s="2">
        <v>34</v>
      </c>
      <c r="L330" s="2" t="s">
        <v>21</v>
      </c>
      <c r="M330" s="2">
        <v>0</v>
      </c>
      <c r="N330" s="2">
        <v>0</v>
      </c>
      <c r="O330" s="2">
        <v>2</v>
      </c>
      <c r="P330" s="2">
        <v>1</v>
      </c>
      <c r="Q330" s="2">
        <v>0</v>
      </c>
      <c r="R330" s="2">
        <v>8</v>
      </c>
      <c r="S330" s="2"/>
      <c r="T330" s="2"/>
      <c r="U330" s="2"/>
      <c r="V330" s="2"/>
      <c r="W330" s="2"/>
      <c r="X330" s="2"/>
      <c r="Y330">
        <f t="shared" si="10"/>
        <v>3</v>
      </c>
      <c r="Z330">
        <f t="shared" si="11"/>
        <v>2.6666666666666665</v>
      </c>
    </row>
    <row r="331" spans="1:26" x14ac:dyDescent="0.25">
      <c r="A331" s="2" t="s">
        <v>656</v>
      </c>
      <c r="B331" s="8">
        <v>55</v>
      </c>
      <c r="C331" s="2" t="s">
        <v>23</v>
      </c>
      <c r="D331" s="8" t="s">
        <v>28</v>
      </c>
      <c r="E331" s="2">
        <v>25</v>
      </c>
      <c r="F331" s="13" t="s">
        <v>21</v>
      </c>
      <c r="G331" s="2">
        <v>24</v>
      </c>
      <c r="H331" s="2"/>
      <c r="I331" s="2">
        <v>68</v>
      </c>
      <c r="J331" s="2"/>
      <c r="K331" s="2">
        <v>29</v>
      </c>
      <c r="L331" s="2" t="s">
        <v>21</v>
      </c>
      <c r="M331" s="2">
        <v>1</v>
      </c>
      <c r="N331" s="2">
        <v>0</v>
      </c>
      <c r="O331" s="2">
        <v>0</v>
      </c>
      <c r="P331" s="2">
        <v>0</v>
      </c>
      <c r="Q331" s="2">
        <v>0</v>
      </c>
      <c r="R331" s="2">
        <v>1</v>
      </c>
      <c r="S331" s="2"/>
      <c r="T331" s="2"/>
      <c r="U331" s="2"/>
      <c r="V331" s="2"/>
      <c r="W331" s="2"/>
      <c r="X331" s="2"/>
      <c r="Y331">
        <f t="shared" si="10"/>
        <v>1</v>
      </c>
      <c r="Z331">
        <f t="shared" si="11"/>
        <v>1</v>
      </c>
    </row>
    <row r="332" spans="1:26" x14ac:dyDescent="0.25">
      <c r="A332" s="2" t="s">
        <v>657</v>
      </c>
      <c r="B332" s="8">
        <v>56</v>
      </c>
      <c r="C332" s="2" t="s">
        <v>23</v>
      </c>
      <c r="D332" s="8" t="s">
        <v>28</v>
      </c>
      <c r="E332" s="2">
        <v>25</v>
      </c>
      <c r="F332" s="2">
        <v>21</v>
      </c>
      <c r="G332" s="2">
        <v>18</v>
      </c>
      <c r="H332" s="2">
        <v>62</v>
      </c>
      <c r="I332" s="2">
        <v>55</v>
      </c>
      <c r="J332" s="2">
        <v>57</v>
      </c>
      <c r="K332" s="2">
        <v>36</v>
      </c>
      <c r="L332" s="2" t="s">
        <v>21</v>
      </c>
      <c r="M332" s="2">
        <v>2</v>
      </c>
      <c r="N332" s="2">
        <v>0</v>
      </c>
      <c r="O332" s="2">
        <v>0</v>
      </c>
      <c r="P332" s="2">
        <v>2</v>
      </c>
      <c r="Q332" s="2">
        <v>0</v>
      </c>
      <c r="R332" s="2">
        <v>8</v>
      </c>
      <c r="S332" s="2">
        <v>1</v>
      </c>
      <c r="T332" s="2">
        <v>0</v>
      </c>
      <c r="U332" s="2">
        <v>0</v>
      </c>
      <c r="V332" s="2">
        <v>0</v>
      </c>
      <c r="W332" s="2">
        <v>1</v>
      </c>
      <c r="X332" s="2">
        <v>4</v>
      </c>
      <c r="Y332">
        <f t="shared" si="10"/>
        <v>6</v>
      </c>
      <c r="Z332">
        <f t="shared" si="11"/>
        <v>2</v>
      </c>
    </row>
    <row r="333" spans="1:26" x14ac:dyDescent="0.25">
      <c r="A333" s="2" t="s">
        <v>658</v>
      </c>
      <c r="B333" s="8">
        <v>57</v>
      </c>
      <c r="C333" s="2" t="s">
        <v>23</v>
      </c>
      <c r="D333" s="8" t="s">
        <v>28</v>
      </c>
      <c r="E333" s="2">
        <v>20</v>
      </c>
      <c r="F333" s="2">
        <v>17</v>
      </c>
      <c r="G333" s="2">
        <v>24</v>
      </c>
      <c r="H333" s="2">
        <v>40</v>
      </c>
      <c r="I333" s="2">
        <v>57</v>
      </c>
      <c r="J333" s="2">
        <v>70</v>
      </c>
      <c r="K333" s="2">
        <v>29</v>
      </c>
      <c r="L333" s="2">
        <v>12929</v>
      </c>
      <c r="M333" s="2">
        <v>3</v>
      </c>
      <c r="N333" s="2">
        <v>0</v>
      </c>
      <c r="O333" s="2">
        <v>0</v>
      </c>
      <c r="P333" s="2">
        <v>0</v>
      </c>
      <c r="Q333" s="2">
        <v>0</v>
      </c>
      <c r="R333" s="2">
        <v>19</v>
      </c>
      <c r="S333" s="2">
        <v>1</v>
      </c>
      <c r="T333" s="2">
        <v>0</v>
      </c>
      <c r="U333" s="2">
        <v>1</v>
      </c>
      <c r="V333" s="2">
        <v>0</v>
      </c>
      <c r="W333" s="2">
        <v>0</v>
      </c>
      <c r="X333" s="2">
        <v>4</v>
      </c>
      <c r="Y333">
        <f t="shared" si="10"/>
        <v>5</v>
      </c>
      <c r="Z333">
        <f t="shared" si="11"/>
        <v>4.5999999999999996</v>
      </c>
    </row>
    <row r="334" spans="1:26" x14ac:dyDescent="0.25">
      <c r="A334" s="2" t="s">
        <v>659</v>
      </c>
      <c r="B334" s="8">
        <v>58</v>
      </c>
      <c r="C334" s="2" t="s">
        <v>23</v>
      </c>
      <c r="D334" s="8" t="s">
        <v>28</v>
      </c>
      <c r="E334" s="2">
        <v>19.5</v>
      </c>
      <c r="F334" s="2">
        <v>13</v>
      </c>
      <c r="G334" s="2">
        <v>28</v>
      </c>
      <c r="H334" s="2">
        <v>57</v>
      </c>
      <c r="I334" s="2">
        <v>50</v>
      </c>
      <c r="J334" s="2">
        <v>52</v>
      </c>
      <c r="K334" s="2">
        <v>30</v>
      </c>
      <c r="L334" s="2">
        <v>755</v>
      </c>
      <c r="M334" s="2">
        <v>4</v>
      </c>
      <c r="N334" s="2">
        <v>0</v>
      </c>
      <c r="O334" s="2">
        <v>0</v>
      </c>
      <c r="P334" s="2">
        <v>0</v>
      </c>
      <c r="Q334" s="2">
        <v>0</v>
      </c>
      <c r="R334" s="2">
        <v>6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  <c r="X334" s="2">
        <v>9</v>
      </c>
      <c r="Y334">
        <f t="shared" si="10"/>
        <v>5</v>
      </c>
      <c r="Z334">
        <f t="shared" si="11"/>
        <v>3</v>
      </c>
    </row>
    <row r="335" spans="1:26" x14ac:dyDescent="0.25">
      <c r="A335" s="2" t="s">
        <v>660</v>
      </c>
      <c r="B335" s="8">
        <v>59</v>
      </c>
      <c r="C335" s="2" t="s">
        <v>23</v>
      </c>
      <c r="D335" s="8" t="s">
        <v>28</v>
      </c>
      <c r="E335" s="2">
        <v>23</v>
      </c>
      <c r="F335" s="2">
        <v>20</v>
      </c>
      <c r="G335" s="2"/>
      <c r="H335" s="2"/>
      <c r="I335" s="2"/>
      <c r="J335" s="2"/>
      <c r="K335" s="2">
        <v>32</v>
      </c>
      <c r="L335" s="2" t="s">
        <v>21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>
        <f t="shared" si="10"/>
        <v>0</v>
      </c>
      <c r="Z335" t="e">
        <f t="shared" si="11"/>
        <v>#DIV/0!</v>
      </c>
    </row>
    <row r="336" spans="1:26" x14ac:dyDescent="0.25">
      <c r="A336" s="2" t="s">
        <v>661</v>
      </c>
      <c r="B336" s="8">
        <v>60</v>
      </c>
      <c r="C336" s="2" t="s">
        <v>23</v>
      </c>
      <c r="D336" s="8" t="s">
        <v>28</v>
      </c>
      <c r="E336" s="2">
        <v>22</v>
      </c>
      <c r="F336" s="2">
        <v>17</v>
      </c>
      <c r="G336" s="2">
        <v>79</v>
      </c>
      <c r="H336" s="2"/>
      <c r="I336" s="2">
        <v>47</v>
      </c>
      <c r="J336" s="2"/>
      <c r="K336" s="2">
        <v>37</v>
      </c>
      <c r="L336" s="2" t="s">
        <v>21</v>
      </c>
      <c r="M336" s="2">
        <v>1</v>
      </c>
      <c r="N336" s="2">
        <v>0</v>
      </c>
      <c r="O336" s="2">
        <v>1</v>
      </c>
      <c r="P336" s="2">
        <v>0</v>
      </c>
      <c r="Q336" s="2">
        <v>0</v>
      </c>
      <c r="R336" s="2">
        <v>23</v>
      </c>
      <c r="S336" s="2"/>
      <c r="T336" s="2"/>
      <c r="U336" s="2"/>
      <c r="V336" s="2"/>
      <c r="W336" s="2"/>
      <c r="X336" s="2"/>
      <c r="Y336">
        <f t="shared" si="10"/>
        <v>2</v>
      </c>
      <c r="Z336">
        <f t="shared" si="11"/>
        <v>11.5</v>
      </c>
    </row>
    <row r="337" spans="1:26" x14ac:dyDescent="0.25">
      <c r="A337" s="2" t="s">
        <v>662</v>
      </c>
      <c r="B337" s="8">
        <v>61</v>
      </c>
      <c r="C337" s="2" t="s">
        <v>23</v>
      </c>
      <c r="D337" s="8" t="s">
        <v>28</v>
      </c>
      <c r="E337" s="2">
        <v>26</v>
      </c>
      <c r="F337" s="2">
        <v>31</v>
      </c>
      <c r="G337" s="2">
        <v>55</v>
      </c>
      <c r="H337" s="2">
        <v>133</v>
      </c>
      <c r="I337" s="2">
        <v>78</v>
      </c>
      <c r="J337" s="2">
        <v>87</v>
      </c>
      <c r="K337" s="2">
        <v>33</v>
      </c>
      <c r="L337" s="2">
        <v>860</v>
      </c>
      <c r="M337" s="2">
        <v>4</v>
      </c>
      <c r="N337" s="2">
        <v>1</v>
      </c>
      <c r="O337" s="2">
        <v>0</v>
      </c>
      <c r="P337" s="2">
        <v>0</v>
      </c>
      <c r="Q337" s="2">
        <v>0</v>
      </c>
      <c r="R337" s="2">
        <v>18</v>
      </c>
      <c r="S337" s="2">
        <v>2</v>
      </c>
      <c r="T337" s="2">
        <v>2</v>
      </c>
      <c r="U337" s="2">
        <v>0</v>
      </c>
      <c r="V337" s="2">
        <v>0</v>
      </c>
      <c r="W337" s="2">
        <v>0</v>
      </c>
      <c r="X337" s="2">
        <v>14</v>
      </c>
      <c r="Y337">
        <f t="shared" si="10"/>
        <v>9</v>
      </c>
      <c r="Z337">
        <f t="shared" si="11"/>
        <v>3.5555555555555554</v>
      </c>
    </row>
    <row r="338" spans="1:26" x14ac:dyDescent="0.25">
      <c r="A338" s="2" t="s">
        <v>613</v>
      </c>
      <c r="B338" s="8" t="s">
        <v>614</v>
      </c>
      <c r="C338" s="2" t="s">
        <v>23</v>
      </c>
      <c r="D338" s="8" t="s">
        <v>28</v>
      </c>
      <c r="E338" s="2">
        <v>16.5</v>
      </c>
      <c r="F338" s="2">
        <v>2</v>
      </c>
      <c r="G338" s="2"/>
      <c r="H338" s="2"/>
      <c r="I338" s="2"/>
      <c r="J338" s="2"/>
      <c r="K338" s="2">
        <v>34</v>
      </c>
      <c r="L338" s="2" t="s">
        <v>21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>
        <f t="shared" si="10"/>
        <v>0</v>
      </c>
      <c r="Z338" t="e">
        <f t="shared" si="11"/>
        <v>#DIV/0!</v>
      </c>
    </row>
    <row r="339" spans="1:26" x14ac:dyDescent="0.25">
      <c r="A339" s="2" t="s">
        <v>620</v>
      </c>
      <c r="B339" s="8" t="s">
        <v>488</v>
      </c>
      <c r="C339" s="2" t="s">
        <v>23</v>
      </c>
      <c r="D339" s="8" t="s">
        <v>28</v>
      </c>
      <c r="E339" s="2">
        <v>22</v>
      </c>
      <c r="F339" s="2">
        <v>8</v>
      </c>
      <c r="G339" s="2">
        <v>35</v>
      </c>
      <c r="H339" s="2"/>
      <c r="I339" s="2">
        <v>53</v>
      </c>
      <c r="J339" s="2"/>
      <c r="K339" s="2">
        <v>29</v>
      </c>
      <c r="L339" s="2" t="s">
        <v>21</v>
      </c>
      <c r="M339" s="2">
        <v>1</v>
      </c>
      <c r="N339" s="2">
        <v>0</v>
      </c>
      <c r="O339" s="2">
        <v>0</v>
      </c>
      <c r="P339" s="2">
        <v>0</v>
      </c>
      <c r="Q339" s="2">
        <v>0</v>
      </c>
      <c r="R339" s="2">
        <v>1</v>
      </c>
      <c r="S339" s="2"/>
      <c r="T339" s="2"/>
      <c r="U339" s="2"/>
      <c r="V339" s="2"/>
      <c r="W339" s="2"/>
      <c r="X339" s="2"/>
      <c r="Y339">
        <f t="shared" si="10"/>
        <v>1</v>
      </c>
      <c r="Z339">
        <f t="shared" si="11"/>
        <v>1</v>
      </c>
    </row>
    <row r="340" spans="1:26" x14ac:dyDescent="0.25">
      <c r="A340" s="2" t="s">
        <v>622</v>
      </c>
      <c r="B340" s="8" t="s">
        <v>623</v>
      </c>
      <c r="C340" s="2" t="s">
        <v>23</v>
      </c>
      <c r="D340" s="8" t="s">
        <v>28</v>
      </c>
      <c r="E340" s="2">
        <v>23</v>
      </c>
      <c r="F340" s="2">
        <v>21</v>
      </c>
      <c r="G340" s="2"/>
      <c r="H340" s="2"/>
      <c r="I340" s="2"/>
      <c r="J340" s="2"/>
      <c r="K340" s="2">
        <v>33</v>
      </c>
      <c r="L340" s="2" t="s">
        <v>21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>
        <f t="shared" si="10"/>
        <v>0</v>
      </c>
      <c r="Z340" t="e">
        <f t="shared" si="11"/>
        <v>#DIV/0!</v>
      </c>
    </row>
    <row r="341" spans="1:26" x14ac:dyDescent="0.25">
      <c r="A341" s="2" t="s">
        <v>628</v>
      </c>
      <c r="B341" s="8" t="s">
        <v>629</v>
      </c>
      <c r="C341" s="2" t="s">
        <v>23</v>
      </c>
      <c r="D341" s="8" t="s">
        <v>28</v>
      </c>
      <c r="E341" s="2">
        <v>26</v>
      </c>
      <c r="F341" s="2">
        <v>23</v>
      </c>
      <c r="G341" s="2">
        <v>40</v>
      </c>
      <c r="H341" s="2">
        <v>142</v>
      </c>
      <c r="I341" s="2">
        <v>47</v>
      </c>
      <c r="J341" s="2">
        <v>53</v>
      </c>
      <c r="K341" s="2">
        <v>34</v>
      </c>
      <c r="L341" s="2">
        <v>955</v>
      </c>
      <c r="M341" s="2">
        <v>2</v>
      </c>
      <c r="N341" s="2">
        <v>2</v>
      </c>
      <c r="O341" s="2">
        <v>0</v>
      </c>
      <c r="P341" s="2">
        <v>1</v>
      </c>
      <c r="Q341" s="2">
        <v>0</v>
      </c>
      <c r="R341" s="2">
        <v>17</v>
      </c>
      <c r="S341" s="2">
        <v>2</v>
      </c>
      <c r="T341" s="2">
        <v>0</v>
      </c>
      <c r="U341" s="2">
        <v>0</v>
      </c>
      <c r="V341" s="2">
        <v>0</v>
      </c>
      <c r="W341" s="2">
        <v>0</v>
      </c>
      <c r="X341" s="2">
        <v>79</v>
      </c>
      <c r="Y341">
        <f t="shared" si="10"/>
        <v>7</v>
      </c>
      <c r="Z341">
        <f t="shared" si="11"/>
        <v>13.714285714285714</v>
      </c>
    </row>
    <row r="342" spans="1:26" x14ac:dyDescent="0.25">
      <c r="A342" s="2" t="s">
        <v>632</v>
      </c>
      <c r="B342" s="8" t="s">
        <v>633</v>
      </c>
      <c r="C342" s="2" t="s">
        <v>23</v>
      </c>
      <c r="D342" s="8" t="s">
        <v>28</v>
      </c>
      <c r="E342" s="2">
        <v>22</v>
      </c>
      <c r="F342" s="2">
        <v>23</v>
      </c>
      <c r="G342" s="2"/>
      <c r="H342" s="2"/>
      <c r="I342" s="2"/>
      <c r="J342" s="2"/>
      <c r="K342" s="2">
        <v>37</v>
      </c>
      <c r="L342" s="2" t="s">
        <v>21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>
        <f t="shared" si="10"/>
        <v>0</v>
      </c>
      <c r="Z342" t="e">
        <f t="shared" si="11"/>
        <v>#DIV/0!</v>
      </c>
    </row>
    <row r="343" spans="1:26" x14ac:dyDescent="0.25">
      <c r="A343" s="2" t="s">
        <v>635</v>
      </c>
      <c r="B343" s="8" t="s">
        <v>636</v>
      </c>
      <c r="C343" s="2" t="s">
        <v>23</v>
      </c>
      <c r="D343" s="8" t="s">
        <v>28</v>
      </c>
      <c r="E343" s="2">
        <v>20</v>
      </c>
      <c r="F343" s="2">
        <v>13</v>
      </c>
      <c r="G343" s="2"/>
      <c r="H343" s="2">
        <v>29</v>
      </c>
      <c r="I343" s="2"/>
      <c r="J343" s="2">
        <v>59</v>
      </c>
      <c r="K343" s="2">
        <v>29</v>
      </c>
      <c r="L343" s="2">
        <v>6025</v>
      </c>
      <c r="M343" s="2"/>
      <c r="N343" s="2"/>
      <c r="O343" s="2"/>
      <c r="P343" s="2"/>
      <c r="Q343" s="2"/>
      <c r="R343" s="2"/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1</v>
      </c>
      <c r="Y343">
        <f t="shared" si="10"/>
        <v>1</v>
      </c>
      <c r="Z343">
        <f t="shared" si="11"/>
        <v>1</v>
      </c>
    </row>
    <row r="344" spans="1:26" x14ac:dyDescent="0.25">
      <c r="A344" s="2" t="s">
        <v>702</v>
      </c>
      <c r="B344" s="8">
        <v>41</v>
      </c>
      <c r="C344" s="2" t="s">
        <v>24</v>
      </c>
      <c r="D344" s="8" t="s">
        <v>28</v>
      </c>
      <c r="E344" s="2">
        <v>21</v>
      </c>
      <c r="F344" s="2">
        <v>18</v>
      </c>
      <c r="G344" s="2">
        <v>14</v>
      </c>
      <c r="H344" s="2">
        <v>100</v>
      </c>
      <c r="I344" s="2">
        <v>73</v>
      </c>
      <c r="J344" s="2">
        <v>67</v>
      </c>
      <c r="K344" s="2">
        <v>36</v>
      </c>
      <c r="L344" s="2">
        <v>327</v>
      </c>
      <c r="M344" s="2">
        <v>1</v>
      </c>
      <c r="N344" s="2">
        <v>1</v>
      </c>
      <c r="O344" s="2">
        <v>0</v>
      </c>
      <c r="P344" s="2">
        <v>0</v>
      </c>
      <c r="Q344" s="2">
        <v>0</v>
      </c>
      <c r="R344" s="2">
        <v>7</v>
      </c>
      <c r="S344" s="2">
        <v>1</v>
      </c>
      <c r="T344" s="2">
        <v>1</v>
      </c>
      <c r="U344" s="2">
        <v>0</v>
      </c>
      <c r="V344" s="2">
        <v>2</v>
      </c>
      <c r="W344" s="2">
        <v>0</v>
      </c>
      <c r="X344" s="2">
        <v>17</v>
      </c>
      <c r="Y344">
        <f t="shared" si="10"/>
        <v>6</v>
      </c>
      <c r="Z344">
        <f t="shared" si="11"/>
        <v>4</v>
      </c>
    </row>
    <row r="345" spans="1:26" x14ac:dyDescent="0.25">
      <c r="A345" s="2" t="s">
        <v>703</v>
      </c>
      <c r="B345" s="8">
        <v>42</v>
      </c>
      <c r="C345" s="2" t="s">
        <v>24</v>
      </c>
      <c r="D345" s="8" t="s">
        <v>28</v>
      </c>
      <c r="E345" s="2">
        <v>19</v>
      </c>
      <c r="F345" s="2">
        <v>20</v>
      </c>
      <c r="G345" s="2">
        <v>31</v>
      </c>
      <c r="H345" s="2">
        <v>57</v>
      </c>
      <c r="I345" s="2">
        <v>42</v>
      </c>
      <c r="J345" s="2">
        <v>53</v>
      </c>
      <c r="K345" s="2">
        <v>37</v>
      </c>
      <c r="L345" s="2" t="s">
        <v>21</v>
      </c>
      <c r="M345" s="2">
        <v>6</v>
      </c>
      <c r="N345" s="2">
        <v>0</v>
      </c>
      <c r="O345" s="2">
        <v>1</v>
      </c>
      <c r="P345" s="2">
        <v>0</v>
      </c>
      <c r="Q345" s="2">
        <v>0</v>
      </c>
      <c r="R345" s="2">
        <v>42</v>
      </c>
      <c r="S345" s="2">
        <v>0</v>
      </c>
      <c r="T345" s="2">
        <v>1</v>
      </c>
      <c r="U345" s="2">
        <v>0</v>
      </c>
      <c r="V345" s="2">
        <v>0</v>
      </c>
      <c r="W345" s="2">
        <v>0</v>
      </c>
      <c r="X345" s="2">
        <v>1</v>
      </c>
      <c r="Y345">
        <f t="shared" si="10"/>
        <v>8</v>
      </c>
      <c r="Z345">
        <f t="shared" si="11"/>
        <v>5.375</v>
      </c>
    </row>
    <row r="346" spans="1:26" x14ac:dyDescent="0.25">
      <c r="A346" s="2" t="s">
        <v>704</v>
      </c>
      <c r="B346" s="8">
        <v>43</v>
      </c>
      <c r="C346" s="2" t="s">
        <v>24</v>
      </c>
      <c r="D346" s="8" t="s">
        <v>28</v>
      </c>
      <c r="E346" s="2">
        <v>20</v>
      </c>
      <c r="F346" s="2">
        <v>10</v>
      </c>
      <c r="G346" s="2">
        <v>21</v>
      </c>
      <c r="H346" s="2">
        <v>52</v>
      </c>
      <c r="I346" s="2">
        <v>43</v>
      </c>
      <c r="J346" s="2">
        <v>50</v>
      </c>
      <c r="K346" s="2">
        <v>30</v>
      </c>
      <c r="L346" s="2">
        <v>274</v>
      </c>
      <c r="M346" s="2">
        <v>3</v>
      </c>
      <c r="N346" s="2">
        <v>0</v>
      </c>
      <c r="O346" s="2">
        <v>0</v>
      </c>
      <c r="P346" s="2">
        <v>0</v>
      </c>
      <c r="Q346" s="2">
        <v>0</v>
      </c>
      <c r="R346" s="2">
        <v>15</v>
      </c>
      <c r="S346" s="2">
        <v>0</v>
      </c>
      <c r="T346" s="2">
        <v>0</v>
      </c>
      <c r="U346" s="2">
        <v>0</v>
      </c>
      <c r="V346" s="2">
        <v>1</v>
      </c>
      <c r="W346" s="2">
        <v>0</v>
      </c>
      <c r="X346" s="2">
        <v>2</v>
      </c>
      <c r="Y346">
        <f t="shared" si="10"/>
        <v>4</v>
      </c>
      <c r="Z346">
        <f t="shared" si="11"/>
        <v>4.25</v>
      </c>
    </row>
    <row r="347" spans="1:26" x14ac:dyDescent="0.25">
      <c r="A347" s="2" t="s">
        <v>705</v>
      </c>
      <c r="B347" s="8">
        <v>44</v>
      </c>
      <c r="C347" s="2" t="s">
        <v>24</v>
      </c>
      <c r="D347" s="8" t="s">
        <v>28</v>
      </c>
      <c r="E347" s="2">
        <v>21</v>
      </c>
      <c r="F347" s="2">
        <v>17</v>
      </c>
      <c r="G347" s="2">
        <v>43</v>
      </c>
      <c r="H347" s="2">
        <v>121</v>
      </c>
      <c r="I347" s="2">
        <v>54</v>
      </c>
      <c r="J347" s="2">
        <v>60</v>
      </c>
      <c r="K347" s="2">
        <v>33</v>
      </c>
      <c r="L347" s="2">
        <v>794</v>
      </c>
      <c r="M347" s="2">
        <v>5</v>
      </c>
      <c r="N347" s="2">
        <v>0</v>
      </c>
      <c r="O347" s="2">
        <v>1</v>
      </c>
      <c r="P347" s="2">
        <v>0</v>
      </c>
      <c r="Q347" s="2">
        <v>0</v>
      </c>
      <c r="R347" s="2">
        <v>27</v>
      </c>
      <c r="S347" s="2">
        <v>4</v>
      </c>
      <c r="T347" s="2">
        <v>0</v>
      </c>
      <c r="U347" s="2">
        <v>0</v>
      </c>
      <c r="V347" s="2">
        <v>0</v>
      </c>
      <c r="W347" s="2">
        <v>0</v>
      </c>
      <c r="X347" s="2">
        <v>25</v>
      </c>
      <c r="Y347">
        <f t="shared" si="10"/>
        <v>10</v>
      </c>
      <c r="Z347">
        <f t="shared" si="11"/>
        <v>5.2</v>
      </c>
    </row>
    <row r="348" spans="1:26" x14ac:dyDescent="0.25">
      <c r="A348" s="2" t="s">
        <v>706</v>
      </c>
      <c r="B348" s="8">
        <v>45</v>
      </c>
      <c r="C348" s="2" t="s">
        <v>24</v>
      </c>
      <c r="D348" s="8" t="s">
        <v>28</v>
      </c>
      <c r="E348" s="2">
        <v>18</v>
      </c>
      <c r="F348" s="2">
        <v>13</v>
      </c>
      <c r="G348" s="2">
        <v>30</v>
      </c>
      <c r="H348" s="2">
        <v>48</v>
      </c>
      <c r="I348" s="2">
        <v>44</v>
      </c>
      <c r="J348" s="2">
        <v>44</v>
      </c>
      <c r="K348" s="2">
        <v>32</v>
      </c>
      <c r="L348" s="2" t="s">
        <v>21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4</v>
      </c>
      <c r="S348" s="2">
        <v>1</v>
      </c>
      <c r="T348" s="2">
        <v>1</v>
      </c>
      <c r="U348" s="2">
        <v>0</v>
      </c>
      <c r="V348" s="2">
        <v>0</v>
      </c>
      <c r="W348" s="2">
        <v>0</v>
      </c>
      <c r="X348" s="2">
        <v>17</v>
      </c>
      <c r="Y348">
        <f t="shared" si="10"/>
        <v>3</v>
      </c>
      <c r="Z348">
        <f t="shared" si="11"/>
        <v>7</v>
      </c>
    </row>
    <row r="349" spans="1:26" x14ac:dyDescent="0.25">
      <c r="A349" s="2" t="s">
        <v>707</v>
      </c>
      <c r="B349" s="8">
        <v>46</v>
      </c>
      <c r="C349" s="2" t="s">
        <v>24</v>
      </c>
      <c r="D349" s="8" t="s">
        <v>28</v>
      </c>
      <c r="E349" s="2">
        <v>15</v>
      </c>
      <c r="F349" s="2">
        <v>19.5</v>
      </c>
      <c r="G349" s="2">
        <v>27</v>
      </c>
      <c r="H349" s="2">
        <v>45</v>
      </c>
      <c r="I349" s="2">
        <v>43</v>
      </c>
      <c r="J349" s="2">
        <v>49</v>
      </c>
      <c r="K349" s="2">
        <v>29</v>
      </c>
      <c r="L349" s="2" t="s">
        <v>21</v>
      </c>
      <c r="M349" s="2">
        <v>2</v>
      </c>
      <c r="N349" s="2">
        <v>0</v>
      </c>
      <c r="O349" s="2">
        <v>0</v>
      </c>
      <c r="P349" s="2">
        <v>0</v>
      </c>
      <c r="Q349" s="2">
        <v>0</v>
      </c>
      <c r="R349" s="2">
        <v>9</v>
      </c>
      <c r="S349" s="2">
        <v>1</v>
      </c>
      <c r="T349" s="2">
        <v>0</v>
      </c>
      <c r="U349" s="2">
        <v>0</v>
      </c>
      <c r="V349" s="2">
        <v>0</v>
      </c>
      <c r="W349" s="2">
        <v>0</v>
      </c>
      <c r="X349" s="2">
        <v>2</v>
      </c>
      <c r="Y349">
        <f t="shared" si="10"/>
        <v>3</v>
      </c>
      <c r="Z349">
        <f t="shared" si="11"/>
        <v>3.6666666666666665</v>
      </c>
    </row>
    <row r="350" spans="1:26" x14ac:dyDescent="0.25">
      <c r="A350" s="2" t="s">
        <v>708</v>
      </c>
      <c r="B350" s="8">
        <v>47</v>
      </c>
      <c r="C350" s="2" t="s">
        <v>24</v>
      </c>
      <c r="D350" s="8" t="s">
        <v>28</v>
      </c>
      <c r="E350" s="2">
        <v>20</v>
      </c>
      <c r="F350" s="2">
        <v>21</v>
      </c>
      <c r="G350" s="2">
        <v>55</v>
      </c>
      <c r="H350" s="2">
        <v>125</v>
      </c>
      <c r="I350" s="2">
        <v>56</v>
      </c>
      <c r="J350" s="2">
        <v>56</v>
      </c>
      <c r="K350" s="2">
        <v>31</v>
      </c>
      <c r="L350" s="2">
        <v>3253</v>
      </c>
      <c r="M350" s="2">
        <v>4</v>
      </c>
      <c r="N350" s="2">
        <v>0</v>
      </c>
      <c r="O350" s="2">
        <v>0</v>
      </c>
      <c r="P350" s="2">
        <v>1</v>
      </c>
      <c r="Q350" s="2">
        <v>0</v>
      </c>
      <c r="R350" s="2">
        <v>12</v>
      </c>
      <c r="S350" s="2">
        <v>2</v>
      </c>
      <c r="T350" s="2">
        <v>1</v>
      </c>
      <c r="U350" s="2">
        <v>3</v>
      </c>
      <c r="V350" s="2">
        <v>0</v>
      </c>
      <c r="W350" s="2">
        <v>0</v>
      </c>
      <c r="X350" s="2">
        <v>36</v>
      </c>
      <c r="Y350">
        <f t="shared" si="10"/>
        <v>11</v>
      </c>
      <c r="Z350">
        <f t="shared" si="11"/>
        <v>4.3636363636363633</v>
      </c>
    </row>
    <row r="351" spans="1:26" x14ac:dyDescent="0.25">
      <c r="A351" s="2" t="s">
        <v>709</v>
      </c>
      <c r="B351" s="8">
        <v>48</v>
      </c>
      <c r="C351" s="2" t="s">
        <v>24</v>
      </c>
      <c r="D351" s="8" t="s">
        <v>28</v>
      </c>
      <c r="E351" s="2">
        <v>20</v>
      </c>
      <c r="F351" s="2">
        <v>15</v>
      </c>
      <c r="G351" s="2">
        <v>47</v>
      </c>
      <c r="H351" s="2"/>
      <c r="I351" s="2">
        <v>52</v>
      </c>
      <c r="J351" s="2"/>
      <c r="K351" s="2">
        <v>33</v>
      </c>
      <c r="L351" s="2" t="s">
        <v>21</v>
      </c>
      <c r="M351" s="2">
        <v>2</v>
      </c>
      <c r="N351" s="2">
        <v>0</v>
      </c>
      <c r="O351" s="2">
        <v>0</v>
      </c>
      <c r="P351" s="2">
        <v>0</v>
      </c>
      <c r="Q351" s="2">
        <v>0</v>
      </c>
      <c r="R351" s="2">
        <v>7</v>
      </c>
      <c r="S351" s="2"/>
      <c r="T351" s="2"/>
      <c r="U351" s="2"/>
      <c r="V351" s="2"/>
      <c r="W351" s="2"/>
      <c r="X351" s="2"/>
      <c r="Y351">
        <f t="shared" si="10"/>
        <v>2</v>
      </c>
      <c r="Z351">
        <f t="shared" si="11"/>
        <v>3.5</v>
      </c>
    </row>
    <row r="352" spans="1:26" x14ac:dyDescent="0.25">
      <c r="A352" s="2" t="s">
        <v>710</v>
      </c>
      <c r="B352" s="8">
        <v>49</v>
      </c>
      <c r="C352" s="2" t="s">
        <v>24</v>
      </c>
      <c r="D352" s="8" t="s">
        <v>28</v>
      </c>
      <c r="E352" s="2">
        <v>22.5</v>
      </c>
      <c r="F352" s="2" t="s">
        <v>21</v>
      </c>
      <c r="G352" s="2"/>
      <c r="H352" s="2"/>
      <c r="I352" s="2"/>
      <c r="J352" s="2"/>
      <c r="K352" s="2">
        <v>36</v>
      </c>
      <c r="L352" s="2" t="s">
        <v>21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>
        <f t="shared" si="10"/>
        <v>0</v>
      </c>
      <c r="Z352" t="e">
        <f t="shared" si="11"/>
        <v>#DIV/0!</v>
      </c>
    </row>
    <row r="353" spans="1:26" x14ac:dyDescent="0.25">
      <c r="A353" s="2" t="s">
        <v>711</v>
      </c>
      <c r="B353" s="8">
        <v>50</v>
      </c>
      <c r="C353" s="2" t="s">
        <v>24</v>
      </c>
      <c r="D353" s="8" t="s">
        <v>28</v>
      </c>
      <c r="E353" s="2">
        <v>20</v>
      </c>
      <c r="F353" s="2">
        <v>14</v>
      </c>
      <c r="G353" s="2">
        <v>19</v>
      </c>
      <c r="H353" s="2"/>
      <c r="I353" s="2">
        <v>60</v>
      </c>
      <c r="J353" s="2"/>
      <c r="K353" s="2">
        <v>36</v>
      </c>
      <c r="L353" s="2" t="s">
        <v>21</v>
      </c>
      <c r="M353" s="2">
        <v>3</v>
      </c>
      <c r="N353" s="2">
        <v>0</v>
      </c>
      <c r="O353" s="2">
        <v>0</v>
      </c>
      <c r="P353" s="2">
        <v>0</v>
      </c>
      <c r="Q353" s="2">
        <v>0</v>
      </c>
      <c r="R353" s="2">
        <v>13</v>
      </c>
      <c r="S353" s="2"/>
      <c r="T353" s="2"/>
      <c r="U353" s="2"/>
      <c r="V353" s="2"/>
      <c r="W353" s="2"/>
      <c r="X353" s="2"/>
      <c r="Y353">
        <f t="shared" si="10"/>
        <v>3</v>
      </c>
      <c r="Z353">
        <f t="shared" si="11"/>
        <v>4.333333333333333</v>
      </c>
    </row>
    <row r="354" spans="1:26" x14ac:dyDescent="0.25">
      <c r="A354" s="2" t="s">
        <v>712</v>
      </c>
      <c r="B354" s="8">
        <v>51</v>
      </c>
      <c r="C354" s="2" t="s">
        <v>24</v>
      </c>
      <c r="D354" s="8" t="s">
        <v>28</v>
      </c>
      <c r="E354" s="2">
        <v>24</v>
      </c>
      <c r="F354" s="2" t="s">
        <v>21</v>
      </c>
      <c r="G354" s="2"/>
      <c r="H354" s="2"/>
      <c r="I354" s="2"/>
      <c r="J354" s="2"/>
      <c r="K354" s="2">
        <v>37</v>
      </c>
      <c r="L354" s="2" t="s">
        <v>21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>
        <f t="shared" si="10"/>
        <v>0</v>
      </c>
      <c r="Z354" t="e">
        <f t="shared" si="11"/>
        <v>#DIV/0!</v>
      </c>
    </row>
    <row r="355" spans="1:26" x14ac:dyDescent="0.25">
      <c r="A355" s="2" t="s">
        <v>713</v>
      </c>
      <c r="B355" s="8">
        <v>52</v>
      </c>
      <c r="C355" s="2" t="s">
        <v>24</v>
      </c>
      <c r="D355" s="8" t="s">
        <v>28</v>
      </c>
      <c r="E355" s="2">
        <v>19.5</v>
      </c>
      <c r="F355" s="2">
        <v>19</v>
      </c>
      <c r="G355" s="2">
        <v>72</v>
      </c>
      <c r="H355" s="2">
        <v>111</v>
      </c>
      <c r="I355" s="2">
        <v>73</v>
      </c>
      <c r="J355" s="2">
        <v>74</v>
      </c>
      <c r="K355" s="2">
        <v>36</v>
      </c>
      <c r="L355" s="2">
        <v>3947</v>
      </c>
      <c r="M355" s="2">
        <v>1</v>
      </c>
      <c r="N355" s="2">
        <v>0</v>
      </c>
      <c r="O355" s="2">
        <v>0</v>
      </c>
      <c r="P355" s="2">
        <v>0</v>
      </c>
      <c r="Q355" s="2">
        <v>0</v>
      </c>
      <c r="R355" s="2">
        <v>20</v>
      </c>
      <c r="S355" s="2">
        <v>1</v>
      </c>
      <c r="T355" s="2">
        <v>0</v>
      </c>
      <c r="U355" s="2">
        <v>0</v>
      </c>
      <c r="V355" s="2">
        <v>1</v>
      </c>
      <c r="W355" s="2">
        <v>0</v>
      </c>
      <c r="X355" s="2">
        <v>3</v>
      </c>
      <c r="Y355">
        <f t="shared" si="10"/>
        <v>3</v>
      </c>
      <c r="Z355">
        <f t="shared" si="11"/>
        <v>7.666666666666667</v>
      </c>
    </row>
    <row r="356" spans="1:26" x14ac:dyDescent="0.25">
      <c r="A356" s="2" t="s">
        <v>714</v>
      </c>
      <c r="B356" s="8">
        <v>53</v>
      </c>
      <c r="C356" s="2" t="s">
        <v>24</v>
      </c>
      <c r="D356" s="8" t="s">
        <v>28</v>
      </c>
      <c r="E356" s="2">
        <v>20</v>
      </c>
      <c r="F356" s="2">
        <v>18</v>
      </c>
      <c r="G356" s="2">
        <v>30</v>
      </c>
      <c r="H356" s="2">
        <v>86</v>
      </c>
      <c r="I356" s="2">
        <v>50</v>
      </c>
      <c r="J356" s="2">
        <v>57</v>
      </c>
      <c r="K356" s="2">
        <v>33</v>
      </c>
      <c r="L356" s="2" t="s">
        <v>21</v>
      </c>
      <c r="M356" s="2">
        <v>0</v>
      </c>
      <c r="N356" s="2">
        <v>1</v>
      </c>
      <c r="O356" s="2">
        <v>0</v>
      </c>
      <c r="P356" s="2">
        <v>0</v>
      </c>
      <c r="Q356" s="2">
        <v>0</v>
      </c>
      <c r="R356" s="2">
        <v>8</v>
      </c>
      <c r="S356" s="2">
        <v>1</v>
      </c>
      <c r="T356" s="2">
        <v>0</v>
      </c>
      <c r="U356" s="2">
        <v>0</v>
      </c>
      <c r="V356" s="2">
        <v>0</v>
      </c>
      <c r="W356" s="2">
        <v>0</v>
      </c>
      <c r="X356" s="2">
        <v>5</v>
      </c>
      <c r="Y356">
        <f t="shared" si="10"/>
        <v>2</v>
      </c>
      <c r="Z356">
        <f t="shared" si="11"/>
        <v>6.5</v>
      </c>
    </row>
    <row r="357" spans="1:26" x14ac:dyDescent="0.25">
      <c r="A357" s="2" t="s">
        <v>715</v>
      </c>
      <c r="B357" s="8">
        <v>54</v>
      </c>
      <c r="C357" s="2" t="s">
        <v>24</v>
      </c>
      <c r="D357" s="8" t="s">
        <v>28</v>
      </c>
      <c r="E357" s="2">
        <v>25</v>
      </c>
      <c r="F357" s="2">
        <v>7</v>
      </c>
      <c r="G357" s="2">
        <v>30</v>
      </c>
      <c r="H357" s="2">
        <v>44</v>
      </c>
      <c r="I357" s="2">
        <v>57</v>
      </c>
      <c r="J357" s="2">
        <v>60</v>
      </c>
      <c r="K357" s="2">
        <v>33</v>
      </c>
      <c r="L357" s="2">
        <v>723</v>
      </c>
      <c r="M357" s="2">
        <v>2</v>
      </c>
      <c r="N357" s="2">
        <v>2</v>
      </c>
      <c r="O357" s="2">
        <v>0</v>
      </c>
      <c r="P357" s="2">
        <v>0</v>
      </c>
      <c r="Q357" s="2">
        <v>0</v>
      </c>
      <c r="R357" s="2">
        <v>14</v>
      </c>
      <c r="S357" s="2">
        <v>5</v>
      </c>
      <c r="T357" s="2">
        <v>0</v>
      </c>
      <c r="U357" s="2">
        <v>0</v>
      </c>
      <c r="V357" s="2">
        <v>2</v>
      </c>
      <c r="W357" s="2">
        <v>0</v>
      </c>
      <c r="X357" s="2">
        <v>19</v>
      </c>
      <c r="Y357">
        <f t="shared" si="10"/>
        <v>11</v>
      </c>
      <c r="Z357">
        <f t="shared" si="11"/>
        <v>3</v>
      </c>
    </row>
    <row r="358" spans="1:26" x14ac:dyDescent="0.25">
      <c r="A358" s="2" t="s">
        <v>716</v>
      </c>
      <c r="B358" s="8">
        <v>55</v>
      </c>
      <c r="C358" s="2" t="s">
        <v>24</v>
      </c>
      <c r="D358" s="8" t="s">
        <v>28</v>
      </c>
      <c r="E358" s="2">
        <v>23</v>
      </c>
      <c r="F358" s="2">
        <v>21</v>
      </c>
      <c r="G358" s="2">
        <v>38</v>
      </c>
      <c r="H358" s="2">
        <v>150</v>
      </c>
      <c r="I358" s="2">
        <v>66</v>
      </c>
      <c r="J358" s="2">
        <v>73</v>
      </c>
      <c r="K358" s="2">
        <v>34</v>
      </c>
      <c r="L358" s="2">
        <v>2343</v>
      </c>
      <c r="M358" s="2">
        <v>3</v>
      </c>
      <c r="N358" s="2">
        <v>0</v>
      </c>
      <c r="O358" s="2">
        <v>4</v>
      </c>
      <c r="P358" s="2">
        <v>0</v>
      </c>
      <c r="Q358" s="2">
        <v>0</v>
      </c>
      <c r="R358" s="2">
        <v>22</v>
      </c>
      <c r="S358" s="2">
        <v>3</v>
      </c>
      <c r="T358" s="2">
        <v>0</v>
      </c>
      <c r="U358" s="2">
        <v>2</v>
      </c>
      <c r="V358" s="2">
        <v>0</v>
      </c>
      <c r="W358" s="2">
        <v>0</v>
      </c>
      <c r="X358" s="2">
        <v>55</v>
      </c>
      <c r="Y358">
        <f t="shared" si="10"/>
        <v>12</v>
      </c>
      <c r="Z358">
        <f t="shared" si="11"/>
        <v>6.416666666666667</v>
      </c>
    </row>
    <row r="359" spans="1:26" x14ac:dyDescent="0.25">
      <c r="A359" s="2" t="s">
        <v>717</v>
      </c>
      <c r="B359" s="8">
        <v>56</v>
      </c>
      <c r="C359" s="2" t="s">
        <v>24</v>
      </c>
      <c r="D359" s="8" t="s">
        <v>28</v>
      </c>
      <c r="E359" s="2">
        <v>16.5</v>
      </c>
      <c r="F359" s="2">
        <v>20</v>
      </c>
      <c r="G359" s="2">
        <v>40</v>
      </c>
      <c r="H359" s="2">
        <v>58</v>
      </c>
      <c r="I359" s="2">
        <v>68</v>
      </c>
      <c r="J359" s="2">
        <v>72</v>
      </c>
      <c r="K359" s="2">
        <v>32</v>
      </c>
      <c r="L359" s="2">
        <v>513</v>
      </c>
      <c r="M359" s="2">
        <v>3</v>
      </c>
      <c r="N359" s="2">
        <v>0</v>
      </c>
      <c r="O359" s="2">
        <v>0</v>
      </c>
      <c r="P359" s="2">
        <v>0</v>
      </c>
      <c r="Q359" s="2">
        <v>0</v>
      </c>
      <c r="R359" s="2">
        <v>8</v>
      </c>
      <c r="S359" s="2">
        <v>5</v>
      </c>
      <c r="T359" s="2">
        <v>0</v>
      </c>
      <c r="U359" s="2">
        <v>0</v>
      </c>
      <c r="V359" s="2">
        <v>0</v>
      </c>
      <c r="W359" s="2">
        <v>0</v>
      </c>
      <c r="X359" s="2">
        <v>15</v>
      </c>
      <c r="Y359">
        <f t="shared" si="10"/>
        <v>8</v>
      </c>
      <c r="Z359">
        <f t="shared" si="11"/>
        <v>2.875</v>
      </c>
    </row>
    <row r="360" spans="1:26" x14ac:dyDescent="0.25">
      <c r="A360" s="2" t="s">
        <v>718</v>
      </c>
      <c r="B360" s="8">
        <v>57</v>
      </c>
      <c r="C360" s="2" t="s">
        <v>24</v>
      </c>
      <c r="D360" s="8" t="s">
        <v>28</v>
      </c>
      <c r="E360" s="2">
        <v>19</v>
      </c>
      <c r="F360" s="2">
        <v>11</v>
      </c>
      <c r="G360" s="2">
        <v>30</v>
      </c>
      <c r="H360" s="2"/>
      <c r="I360" s="2">
        <v>55</v>
      </c>
      <c r="J360" s="2"/>
      <c r="K360" s="2">
        <v>29</v>
      </c>
      <c r="L360" s="2" t="s">
        <v>21</v>
      </c>
      <c r="M360" s="2">
        <v>3</v>
      </c>
      <c r="N360" s="2">
        <v>0</v>
      </c>
      <c r="O360" s="2">
        <v>2</v>
      </c>
      <c r="P360" s="2">
        <v>0</v>
      </c>
      <c r="Q360" s="2">
        <v>0</v>
      </c>
      <c r="R360" s="2">
        <v>22</v>
      </c>
      <c r="S360" s="2"/>
      <c r="T360" s="2"/>
      <c r="U360" s="2"/>
      <c r="V360" s="2"/>
      <c r="W360" s="2"/>
      <c r="X360" s="2"/>
      <c r="Y360">
        <f t="shared" si="10"/>
        <v>5</v>
      </c>
      <c r="Z360">
        <f t="shared" si="11"/>
        <v>4.4000000000000004</v>
      </c>
    </row>
    <row r="361" spans="1:26" x14ac:dyDescent="0.25">
      <c r="A361" s="2" t="s">
        <v>719</v>
      </c>
      <c r="B361" s="8">
        <v>58</v>
      </c>
      <c r="C361" s="2" t="s">
        <v>24</v>
      </c>
      <c r="D361" s="8" t="s">
        <v>28</v>
      </c>
      <c r="E361" s="2">
        <v>16.5</v>
      </c>
      <c r="F361" s="2">
        <v>17</v>
      </c>
      <c r="G361" s="2">
        <v>16</v>
      </c>
      <c r="H361" s="2">
        <v>29</v>
      </c>
      <c r="I361" s="2">
        <v>38</v>
      </c>
      <c r="J361" s="2">
        <v>43</v>
      </c>
      <c r="K361" s="2">
        <v>29</v>
      </c>
      <c r="L361" s="2" t="s">
        <v>21</v>
      </c>
      <c r="M361" s="2">
        <v>1</v>
      </c>
      <c r="N361" s="2">
        <v>0</v>
      </c>
      <c r="O361" s="2">
        <v>0</v>
      </c>
      <c r="P361" s="2">
        <v>0</v>
      </c>
      <c r="Q361" s="2">
        <v>0</v>
      </c>
      <c r="R361" s="2">
        <v>6</v>
      </c>
      <c r="S361" s="2">
        <v>0</v>
      </c>
      <c r="T361" s="2">
        <v>1</v>
      </c>
      <c r="U361" s="2">
        <v>0</v>
      </c>
      <c r="V361" s="2">
        <v>0</v>
      </c>
      <c r="W361" s="2">
        <v>0</v>
      </c>
      <c r="X361" s="2">
        <v>2</v>
      </c>
      <c r="Y361">
        <f t="shared" si="10"/>
        <v>2</v>
      </c>
      <c r="Z361">
        <f t="shared" si="11"/>
        <v>4</v>
      </c>
    </row>
    <row r="362" spans="1:26" x14ac:dyDescent="0.25">
      <c r="A362" s="2" t="s">
        <v>720</v>
      </c>
      <c r="B362" s="8">
        <v>59</v>
      </c>
      <c r="C362" s="2" t="s">
        <v>24</v>
      </c>
      <c r="D362" s="8" t="s">
        <v>28</v>
      </c>
      <c r="E362" s="2">
        <v>21</v>
      </c>
      <c r="F362" s="2">
        <v>25</v>
      </c>
      <c r="G362" s="2">
        <v>21</v>
      </c>
      <c r="H362" s="2">
        <v>45</v>
      </c>
      <c r="I362" s="2">
        <v>46</v>
      </c>
      <c r="J362" s="2">
        <v>64</v>
      </c>
      <c r="K362" s="2">
        <v>32</v>
      </c>
      <c r="L362" s="2" t="s">
        <v>21</v>
      </c>
      <c r="M362" s="2">
        <v>1</v>
      </c>
      <c r="N362" s="2">
        <v>0</v>
      </c>
      <c r="O362" s="2">
        <v>1</v>
      </c>
      <c r="P362" s="2">
        <v>0</v>
      </c>
      <c r="Q362" s="2">
        <v>0</v>
      </c>
      <c r="R362" s="2">
        <v>4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  <c r="X362" s="2">
        <v>31</v>
      </c>
      <c r="Y362">
        <f t="shared" si="10"/>
        <v>3</v>
      </c>
      <c r="Z362">
        <f t="shared" si="11"/>
        <v>11.666666666666666</v>
      </c>
    </row>
    <row r="363" spans="1:26" x14ac:dyDescent="0.25">
      <c r="A363" s="2" t="s">
        <v>721</v>
      </c>
      <c r="B363" s="8">
        <v>60</v>
      </c>
      <c r="C363" s="2" t="s">
        <v>24</v>
      </c>
      <c r="D363" s="8" t="s">
        <v>28</v>
      </c>
      <c r="E363" s="2">
        <v>16</v>
      </c>
      <c r="F363" s="2">
        <v>13</v>
      </c>
      <c r="G363" s="2">
        <v>33</v>
      </c>
      <c r="H363" s="2">
        <v>27</v>
      </c>
      <c r="I363" s="2">
        <v>51</v>
      </c>
      <c r="J363" s="2">
        <v>62</v>
      </c>
      <c r="K363" s="2">
        <v>32</v>
      </c>
      <c r="L363" s="2">
        <v>263</v>
      </c>
      <c r="M363" s="2">
        <v>1</v>
      </c>
      <c r="N363" s="2">
        <v>0</v>
      </c>
      <c r="O363" s="2">
        <v>0</v>
      </c>
      <c r="P363" s="2">
        <v>0</v>
      </c>
      <c r="Q363" s="2">
        <v>0</v>
      </c>
      <c r="R363" s="2">
        <v>2</v>
      </c>
      <c r="S363" s="2">
        <v>1</v>
      </c>
      <c r="T363" s="2">
        <v>1</v>
      </c>
      <c r="U363" s="2">
        <v>0</v>
      </c>
      <c r="V363" s="2">
        <v>0</v>
      </c>
      <c r="W363" s="2">
        <v>0</v>
      </c>
      <c r="X363" s="2">
        <v>5</v>
      </c>
      <c r="Y363">
        <f t="shared" si="10"/>
        <v>3</v>
      </c>
      <c r="Z363">
        <f t="shared" si="11"/>
        <v>2.3333333333333335</v>
      </c>
    </row>
    <row r="364" spans="1:26" x14ac:dyDescent="0.25">
      <c r="A364" s="2" t="s">
        <v>722</v>
      </c>
      <c r="B364" s="8">
        <v>61</v>
      </c>
      <c r="C364" s="2" t="s">
        <v>24</v>
      </c>
      <c r="D364" s="8" t="s">
        <v>28</v>
      </c>
      <c r="E364" s="2">
        <v>21</v>
      </c>
      <c r="F364" s="2">
        <v>24</v>
      </c>
      <c r="G364" s="2">
        <v>22</v>
      </c>
      <c r="H364" s="2">
        <v>58</v>
      </c>
      <c r="I364" s="2">
        <v>57</v>
      </c>
      <c r="J364" s="2">
        <v>67</v>
      </c>
      <c r="K364" s="2">
        <v>29</v>
      </c>
      <c r="L364" s="2" t="s">
        <v>21</v>
      </c>
      <c r="M364" s="2">
        <v>3</v>
      </c>
      <c r="N364" s="2">
        <v>0</v>
      </c>
      <c r="O364" s="2">
        <v>0</v>
      </c>
      <c r="P364" s="2">
        <v>0</v>
      </c>
      <c r="Q364" s="2">
        <v>0</v>
      </c>
      <c r="R364" s="2">
        <v>7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23</v>
      </c>
      <c r="Y364">
        <f t="shared" si="10"/>
        <v>4</v>
      </c>
      <c r="Z364">
        <f t="shared" si="11"/>
        <v>7.5</v>
      </c>
    </row>
    <row r="365" spans="1:26" x14ac:dyDescent="0.25">
      <c r="A365" s="2" t="s">
        <v>723</v>
      </c>
      <c r="B365" s="8">
        <v>62</v>
      </c>
      <c r="C365" s="2" t="s">
        <v>24</v>
      </c>
      <c r="D365" s="8" t="s">
        <v>28</v>
      </c>
      <c r="E365" s="2">
        <v>20</v>
      </c>
      <c r="F365" s="2">
        <v>18</v>
      </c>
      <c r="G365" s="2">
        <v>42</v>
      </c>
      <c r="H365" s="2">
        <v>84</v>
      </c>
      <c r="I365" s="2">
        <v>51</v>
      </c>
      <c r="J365" s="2">
        <v>55</v>
      </c>
      <c r="K365" s="2">
        <v>31</v>
      </c>
      <c r="L365" s="2">
        <v>206</v>
      </c>
      <c r="M365" s="2">
        <v>2</v>
      </c>
      <c r="N365" s="2">
        <v>0</v>
      </c>
      <c r="O365" s="2">
        <v>0</v>
      </c>
      <c r="P365" s="2">
        <v>0</v>
      </c>
      <c r="Q365" s="2">
        <v>0</v>
      </c>
      <c r="R365" s="2">
        <v>2</v>
      </c>
      <c r="S365" s="2">
        <v>2</v>
      </c>
      <c r="T365" s="2">
        <v>2</v>
      </c>
      <c r="U365" s="2">
        <v>0</v>
      </c>
      <c r="V365" s="2">
        <v>0</v>
      </c>
      <c r="W365" s="2">
        <v>0</v>
      </c>
      <c r="X365" s="2">
        <v>16</v>
      </c>
      <c r="Y365">
        <f t="shared" si="10"/>
        <v>6</v>
      </c>
      <c r="Z365">
        <f t="shared" si="11"/>
        <v>3</v>
      </c>
    </row>
    <row r="366" spans="1:26" x14ac:dyDescent="0.25">
      <c r="A366" s="2" t="s">
        <v>770</v>
      </c>
      <c r="B366" s="8">
        <v>41</v>
      </c>
      <c r="C366" s="2" t="s">
        <v>25</v>
      </c>
      <c r="D366" s="8" t="s">
        <v>28</v>
      </c>
      <c r="E366" s="2">
        <v>19</v>
      </c>
      <c r="F366" s="2">
        <v>20</v>
      </c>
      <c r="G366" s="2">
        <v>58</v>
      </c>
      <c r="H366" s="2">
        <v>32</v>
      </c>
      <c r="I366" s="2">
        <v>47</v>
      </c>
      <c r="J366" s="2">
        <v>50</v>
      </c>
      <c r="K366" s="2">
        <v>32</v>
      </c>
      <c r="L366" s="2" t="s">
        <v>21</v>
      </c>
      <c r="M366" s="2">
        <v>3</v>
      </c>
      <c r="N366" s="2">
        <v>1</v>
      </c>
      <c r="O366" s="2">
        <v>1</v>
      </c>
      <c r="P366" s="2">
        <v>0</v>
      </c>
      <c r="Q366" s="2">
        <v>0</v>
      </c>
      <c r="R366" s="2">
        <v>12</v>
      </c>
      <c r="S366" s="2">
        <v>2</v>
      </c>
      <c r="T366" s="2">
        <v>1</v>
      </c>
      <c r="U366" s="2">
        <v>0</v>
      </c>
      <c r="V366" s="2">
        <v>0</v>
      </c>
      <c r="W366" s="2">
        <v>0</v>
      </c>
      <c r="X366" s="2">
        <v>7</v>
      </c>
      <c r="Y366">
        <f t="shared" si="10"/>
        <v>8</v>
      </c>
      <c r="Z366">
        <f t="shared" si="11"/>
        <v>2.375</v>
      </c>
    </row>
    <row r="367" spans="1:26" x14ac:dyDescent="0.25">
      <c r="A367" s="2" t="s">
        <v>771</v>
      </c>
      <c r="B367" s="8">
        <v>42</v>
      </c>
      <c r="C367" s="2" t="s">
        <v>25</v>
      </c>
      <c r="D367" s="8" t="s">
        <v>28</v>
      </c>
      <c r="E367" s="2">
        <v>18</v>
      </c>
      <c r="F367" s="2">
        <v>12</v>
      </c>
      <c r="G367" s="2">
        <v>27</v>
      </c>
      <c r="H367" s="2">
        <v>35</v>
      </c>
      <c r="I367" s="2">
        <v>52</v>
      </c>
      <c r="J367" s="2">
        <v>56</v>
      </c>
      <c r="K367" s="2">
        <v>30</v>
      </c>
      <c r="L367" s="2">
        <v>422</v>
      </c>
      <c r="M367" s="2">
        <v>5</v>
      </c>
      <c r="N367" s="2">
        <v>0</v>
      </c>
      <c r="O367" s="2">
        <v>0</v>
      </c>
      <c r="P367" s="2">
        <v>0</v>
      </c>
      <c r="Q367" s="2">
        <v>0</v>
      </c>
      <c r="R367" s="2">
        <v>19</v>
      </c>
      <c r="S367" s="2">
        <v>2</v>
      </c>
      <c r="T367" s="2">
        <v>0</v>
      </c>
      <c r="U367" s="2">
        <v>0</v>
      </c>
      <c r="V367" s="2">
        <v>0</v>
      </c>
      <c r="W367" s="2">
        <v>0</v>
      </c>
      <c r="X367" s="2">
        <v>4</v>
      </c>
      <c r="Y367">
        <f t="shared" si="10"/>
        <v>7</v>
      </c>
      <c r="Z367">
        <f t="shared" si="11"/>
        <v>3.2857142857142856</v>
      </c>
    </row>
    <row r="368" spans="1:26" x14ac:dyDescent="0.25">
      <c r="A368" s="2" t="s">
        <v>772</v>
      </c>
      <c r="B368" s="8">
        <v>43</v>
      </c>
      <c r="C368" s="2" t="s">
        <v>25</v>
      </c>
      <c r="D368" s="8" t="s">
        <v>28</v>
      </c>
      <c r="E368" s="2">
        <v>14.5</v>
      </c>
      <c r="F368" s="2">
        <v>10</v>
      </c>
      <c r="G368" s="2">
        <v>21</v>
      </c>
      <c r="H368" s="2"/>
      <c r="I368" s="2">
        <v>40</v>
      </c>
      <c r="J368" s="2"/>
      <c r="K368" s="2">
        <v>28</v>
      </c>
      <c r="L368" s="2">
        <v>340</v>
      </c>
      <c r="M368" s="2">
        <v>1</v>
      </c>
      <c r="N368" s="2">
        <v>0</v>
      </c>
      <c r="O368" s="2">
        <v>0</v>
      </c>
      <c r="P368" s="2">
        <v>0</v>
      </c>
      <c r="Q368" s="2">
        <v>0</v>
      </c>
      <c r="R368" s="2">
        <v>2</v>
      </c>
      <c r="S368" s="2"/>
      <c r="T368" s="2"/>
      <c r="U368" s="2"/>
      <c r="V368" s="2"/>
      <c r="W368" s="2"/>
      <c r="X368" s="2"/>
      <c r="Y368">
        <f t="shared" si="10"/>
        <v>1</v>
      </c>
      <c r="Z368">
        <f t="shared" si="11"/>
        <v>2</v>
      </c>
    </row>
    <row r="369" spans="1:26" x14ac:dyDescent="0.25">
      <c r="A369" s="2" t="s">
        <v>773</v>
      </c>
      <c r="B369" s="8">
        <v>44</v>
      </c>
      <c r="C369" s="2" t="s">
        <v>25</v>
      </c>
      <c r="D369" s="8" t="s">
        <v>28</v>
      </c>
      <c r="E369" s="2">
        <v>17</v>
      </c>
      <c r="F369" s="2">
        <v>12</v>
      </c>
      <c r="G369" s="2">
        <v>35</v>
      </c>
      <c r="H369" s="2">
        <v>30</v>
      </c>
      <c r="I369" s="2">
        <v>38</v>
      </c>
      <c r="J369" s="2">
        <v>41</v>
      </c>
      <c r="K369" s="2">
        <v>35</v>
      </c>
      <c r="L369" s="2">
        <v>172</v>
      </c>
      <c r="M369" s="2">
        <v>2</v>
      </c>
      <c r="N369" s="2">
        <v>0</v>
      </c>
      <c r="O369" s="2">
        <v>0</v>
      </c>
      <c r="P369" s="2">
        <v>0</v>
      </c>
      <c r="Q369" s="2">
        <v>0</v>
      </c>
      <c r="R369" s="2">
        <v>13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1</v>
      </c>
      <c r="Y369">
        <f t="shared" si="10"/>
        <v>3</v>
      </c>
      <c r="Z369">
        <f t="shared" si="11"/>
        <v>4.666666666666667</v>
      </c>
    </row>
    <row r="370" spans="1:26" x14ac:dyDescent="0.25">
      <c r="A370" s="2" t="s">
        <v>774</v>
      </c>
      <c r="B370" s="8">
        <v>45</v>
      </c>
      <c r="C370" s="2" t="s">
        <v>25</v>
      </c>
      <c r="D370" s="8" t="s">
        <v>28</v>
      </c>
      <c r="E370" s="2">
        <v>15</v>
      </c>
      <c r="F370" s="2">
        <v>22</v>
      </c>
      <c r="G370" s="2">
        <v>37</v>
      </c>
      <c r="H370" s="2">
        <v>84</v>
      </c>
      <c r="I370" s="2">
        <v>40</v>
      </c>
      <c r="J370" s="2">
        <v>47</v>
      </c>
      <c r="K370" s="2">
        <v>33</v>
      </c>
      <c r="L370" s="2" t="s">
        <v>21</v>
      </c>
      <c r="M370" s="2">
        <v>2</v>
      </c>
      <c r="N370" s="2">
        <v>0</v>
      </c>
      <c r="O370" s="2">
        <v>0</v>
      </c>
      <c r="P370" s="2">
        <v>0</v>
      </c>
      <c r="Q370" s="2">
        <v>0</v>
      </c>
      <c r="R370" s="2">
        <v>21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13</v>
      </c>
      <c r="Y370">
        <f t="shared" si="10"/>
        <v>4</v>
      </c>
      <c r="Z370">
        <f t="shared" si="11"/>
        <v>8.5</v>
      </c>
    </row>
    <row r="371" spans="1:26" x14ac:dyDescent="0.25">
      <c r="A371" s="2" t="s">
        <v>775</v>
      </c>
      <c r="B371" s="8">
        <v>46</v>
      </c>
      <c r="C371" s="2" t="s">
        <v>25</v>
      </c>
      <c r="D371" s="8" t="s">
        <v>28</v>
      </c>
      <c r="E371" s="2">
        <v>17</v>
      </c>
      <c r="F371" s="2">
        <v>22</v>
      </c>
      <c r="G371" s="2">
        <v>25</v>
      </c>
      <c r="H371" s="2">
        <v>95</v>
      </c>
      <c r="I371" s="2">
        <v>61</v>
      </c>
      <c r="J371" s="2">
        <v>53</v>
      </c>
      <c r="K371" s="2">
        <v>37</v>
      </c>
      <c r="L371" s="2" t="s">
        <v>21</v>
      </c>
      <c r="M371" s="2">
        <v>0</v>
      </c>
      <c r="N371" s="2">
        <v>1</v>
      </c>
      <c r="O371" s="2">
        <v>0</v>
      </c>
      <c r="P371" s="2">
        <v>0</v>
      </c>
      <c r="Q371" s="2">
        <v>0</v>
      </c>
      <c r="R371" s="2">
        <v>2</v>
      </c>
      <c r="S371" s="2">
        <v>3</v>
      </c>
      <c r="T371" s="2">
        <v>0</v>
      </c>
      <c r="U371" s="2">
        <v>0</v>
      </c>
      <c r="V371" s="2">
        <v>0</v>
      </c>
      <c r="W371" s="2">
        <v>0</v>
      </c>
      <c r="X371" s="2">
        <v>25</v>
      </c>
      <c r="Y371">
        <f t="shared" si="10"/>
        <v>4</v>
      </c>
      <c r="Z371">
        <f t="shared" si="11"/>
        <v>6.75</v>
      </c>
    </row>
    <row r="372" spans="1:26" x14ac:dyDescent="0.25">
      <c r="A372" s="2" t="s">
        <v>776</v>
      </c>
      <c r="B372" s="8">
        <v>47</v>
      </c>
      <c r="C372" s="2" t="s">
        <v>25</v>
      </c>
      <c r="D372" s="8" t="s">
        <v>28</v>
      </c>
      <c r="E372" s="2">
        <v>21</v>
      </c>
      <c r="F372" s="2">
        <v>31</v>
      </c>
      <c r="G372" s="2">
        <v>28</v>
      </c>
      <c r="H372" s="2">
        <v>142</v>
      </c>
      <c r="I372" s="2">
        <v>57</v>
      </c>
      <c r="J372" s="2">
        <v>60</v>
      </c>
      <c r="K372" s="2">
        <v>36</v>
      </c>
      <c r="L372" s="2" t="s">
        <v>21</v>
      </c>
      <c r="M372" s="2">
        <v>2</v>
      </c>
      <c r="N372" s="2">
        <v>0</v>
      </c>
      <c r="O372" s="2">
        <v>2</v>
      </c>
      <c r="P372" s="2">
        <v>0</v>
      </c>
      <c r="Q372" s="2">
        <v>0</v>
      </c>
      <c r="R372" s="2">
        <v>6</v>
      </c>
      <c r="S372" s="2">
        <v>2</v>
      </c>
      <c r="T372" s="2">
        <v>0</v>
      </c>
      <c r="U372" s="2">
        <v>5</v>
      </c>
      <c r="V372" s="2">
        <v>0</v>
      </c>
      <c r="W372" s="2">
        <v>0</v>
      </c>
      <c r="X372" s="2">
        <v>110</v>
      </c>
      <c r="Y372">
        <f t="shared" si="10"/>
        <v>11</v>
      </c>
      <c r="Z372">
        <f t="shared" si="11"/>
        <v>10.545454545454545</v>
      </c>
    </row>
    <row r="373" spans="1:26" x14ac:dyDescent="0.25">
      <c r="A373" s="2" t="s">
        <v>777</v>
      </c>
      <c r="B373" s="8">
        <v>48</v>
      </c>
      <c r="C373" s="2" t="s">
        <v>25</v>
      </c>
      <c r="D373" s="8" t="s">
        <v>28</v>
      </c>
      <c r="E373" s="2">
        <v>22</v>
      </c>
      <c r="F373" s="2">
        <v>18</v>
      </c>
      <c r="G373" s="2">
        <v>42</v>
      </c>
      <c r="H373" s="2">
        <v>109</v>
      </c>
      <c r="I373" s="2">
        <v>59</v>
      </c>
      <c r="J373" s="2">
        <v>71</v>
      </c>
      <c r="K373" s="2">
        <v>31</v>
      </c>
      <c r="L373" s="2">
        <v>707</v>
      </c>
      <c r="M373" s="2">
        <v>1</v>
      </c>
      <c r="N373" s="2">
        <v>0</v>
      </c>
      <c r="O373" s="2">
        <v>0</v>
      </c>
      <c r="P373" s="2">
        <v>0</v>
      </c>
      <c r="Q373" s="2">
        <v>0</v>
      </c>
      <c r="R373" s="2">
        <v>3</v>
      </c>
      <c r="S373" s="2">
        <v>0</v>
      </c>
      <c r="T373" s="2">
        <v>0</v>
      </c>
      <c r="U373" s="2">
        <v>0</v>
      </c>
      <c r="V373" s="2">
        <v>1</v>
      </c>
      <c r="W373" s="2">
        <v>0</v>
      </c>
      <c r="X373" s="2">
        <v>4</v>
      </c>
      <c r="Y373">
        <f t="shared" si="10"/>
        <v>2</v>
      </c>
      <c r="Z373">
        <f t="shared" si="11"/>
        <v>3.5</v>
      </c>
    </row>
    <row r="374" spans="1:26" x14ac:dyDescent="0.25">
      <c r="A374" s="2" t="s">
        <v>778</v>
      </c>
      <c r="B374" s="8">
        <v>49</v>
      </c>
      <c r="C374" s="2" t="s">
        <v>25</v>
      </c>
      <c r="D374" s="8" t="s">
        <v>28</v>
      </c>
      <c r="E374" s="2">
        <v>19</v>
      </c>
      <c r="F374" s="2">
        <v>14</v>
      </c>
      <c r="G374" s="2">
        <v>20</v>
      </c>
      <c r="H374" s="2">
        <v>32</v>
      </c>
      <c r="I374" s="2">
        <v>36</v>
      </c>
      <c r="J374" s="2">
        <v>49</v>
      </c>
      <c r="K374" s="2">
        <v>35</v>
      </c>
      <c r="L374" s="2">
        <v>309</v>
      </c>
      <c r="M374" s="2">
        <v>1</v>
      </c>
      <c r="N374" s="2">
        <v>0</v>
      </c>
      <c r="O374" s="2">
        <v>0</v>
      </c>
      <c r="P374" s="2">
        <v>1</v>
      </c>
      <c r="Q374" s="2">
        <v>0</v>
      </c>
      <c r="R374" s="2">
        <v>8</v>
      </c>
      <c r="S374" s="2">
        <v>4</v>
      </c>
      <c r="T374" s="2">
        <v>0</v>
      </c>
      <c r="U374" s="2">
        <v>0</v>
      </c>
      <c r="V374" s="2">
        <v>1</v>
      </c>
      <c r="W374" s="2">
        <v>0</v>
      </c>
      <c r="X374" s="2">
        <v>7</v>
      </c>
      <c r="Y374">
        <f t="shared" si="10"/>
        <v>7</v>
      </c>
      <c r="Z374">
        <f t="shared" si="11"/>
        <v>2.1428571428571428</v>
      </c>
    </row>
    <row r="375" spans="1:26" x14ac:dyDescent="0.25">
      <c r="A375" s="2" t="s">
        <v>779</v>
      </c>
      <c r="B375" s="8">
        <v>50</v>
      </c>
      <c r="C375" s="2" t="s">
        <v>25</v>
      </c>
      <c r="D375" s="8" t="s">
        <v>28</v>
      </c>
      <c r="E375" s="2">
        <v>32</v>
      </c>
      <c r="F375" s="2">
        <v>19</v>
      </c>
      <c r="G375" s="2">
        <v>37</v>
      </c>
      <c r="H375" s="2">
        <v>25</v>
      </c>
      <c r="I375" s="2">
        <v>60</v>
      </c>
      <c r="J375" s="2">
        <v>61</v>
      </c>
      <c r="K375" s="2">
        <v>33</v>
      </c>
      <c r="L375" s="2">
        <v>539</v>
      </c>
      <c r="M375" s="2">
        <v>1</v>
      </c>
      <c r="N375" s="2">
        <v>0</v>
      </c>
      <c r="O375" s="2">
        <v>2</v>
      </c>
      <c r="P375" s="2">
        <v>0</v>
      </c>
      <c r="Q375" s="2">
        <v>0</v>
      </c>
      <c r="R375" s="2">
        <v>6</v>
      </c>
      <c r="S375" s="2">
        <v>0</v>
      </c>
      <c r="T375" s="2">
        <v>0</v>
      </c>
      <c r="U375" s="2">
        <v>0</v>
      </c>
      <c r="V375" s="2">
        <v>1</v>
      </c>
      <c r="W375" s="2">
        <v>0</v>
      </c>
      <c r="X375" s="2">
        <v>1</v>
      </c>
      <c r="Y375">
        <f t="shared" si="10"/>
        <v>4</v>
      </c>
      <c r="Z375">
        <f t="shared" si="11"/>
        <v>1.75</v>
      </c>
    </row>
    <row r="376" spans="1:26" x14ac:dyDescent="0.25">
      <c r="A376" s="2" t="s">
        <v>780</v>
      </c>
      <c r="B376" s="8">
        <v>51</v>
      </c>
      <c r="C376" s="2" t="s">
        <v>25</v>
      </c>
      <c r="D376" s="8" t="s">
        <v>28</v>
      </c>
      <c r="E376" s="2">
        <v>19</v>
      </c>
      <c r="F376" s="2" t="s">
        <v>21</v>
      </c>
      <c r="G376" s="2"/>
      <c r="H376" s="2"/>
      <c r="I376" s="2"/>
      <c r="J376" s="2"/>
      <c r="K376" s="2"/>
      <c r="L376" s="2" t="s">
        <v>21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>
        <f t="shared" si="10"/>
        <v>0</v>
      </c>
      <c r="Z376" t="e">
        <f t="shared" si="11"/>
        <v>#DIV/0!</v>
      </c>
    </row>
    <row r="377" spans="1:26" x14ac:dyDescent="0.25">
      <c r="A377" s="2" t="s">
        <v>781</v>
      </c>
      <c r="B377" s="8">
        <v>52</v>
      </c>
      <c r="C377" s="2" t="s">
        <v>25</v>
      </c>
      <c r="D377" s="8" t="s">
        <v>28</v>
      </c>
      <c r="E377" s="2">
        <v>16.5</v>
      </c>
      <c r="F377" s="2">
        <v>5</v>
      </c>
      <c r="G377" s="2">
        <v>27</v>
      </c>
      <c r="H377" s="2"/>
      <c r="I377" s="2">
        <v>55</v>
      </c>
      <c r="J377" s="2"/>
      <c r="K377" s="2">
        <v>33</v>
      </c>
      <c r="L377" s="2" t="s">
        <v>21</v>
      </c>
      <c r="M377" s="2">
        <v>1</v>
      </c>
      <c r="N377" s="2">
        <v>1</v>
      </c>
      <c r="O377" s="2">
        <v>0</v>
      </c>
      <c r="P377" s="2">
        <v>0</v>
      </c>
      <c r="Q377" s="2">
        <v>0</v>
      </c>
      <c r="R377" s="2">
        <v>4</v>
      </c>
      <c r="S377" s="2"/>
      <c r="T377" s="2"/>
      <c r="U377" s="2"/>
      <c r="V377" s="2"/>
      <c r="W377" s="2"/>
      <c r="X377" s="2"/>
      <c r="Y377">
        <f t="shared" si="10"/>
        <v>2</v>
      </c>
      <c r="Z377">
        <f t="shared" si="11"/>
        <v>2</v>
      </c>
    </row>
    <row r="378" spans="1:26" x14ac:dyDescent="0.25">
      <c r="A378" s="2" t="s">
        <v>782</v>
      </c>
      <c r="B378" s="8">
        <v>53</v>
      </c>
      <c r="C378" s="2" t="s">
        <v>25</v>
      </c>
      <c r="D378" s="8" t="s">
        <v>28</v>
      </c>
      <c r="E378" s="2">
        <v>17</v>
      </c>
      <c r="F378" s="2">
        <v>14</v>
      </c>
      <c r="G378" s="2"/>
      <c r="H378" s="2">
        <v>112</v>
      </c>
      <c r="I378" s="2"/>
      <c r="J378" s="2">
        <v>68</v>
      </c>
      <c r="K378" s="2">
        <v>34</v>
      </c>
      <c r="L378" s="2" t="s">
        <v>21</v>
      </c>
      <c r="M378" s="2"/>
      <c r="N378" s="2"/>
      <c r="O378" s="2"/>
      <c r="P378" s="2"/>
      <c r="Q378" s="2"/>
      <c r="R378" s="2"/>
      <c r="S378" s="2">
        <v>2</v>
      </c>
      <c r="T378" s="2">
        <v>1</v>
      </c>
      <c r="U378" s="2">
        <v>0</v>
      </c>
      <c r="V378" s="2">
        <v>0</v>
      </c>
      <c r="W378" s="2">
        <v>0</v>
      </c>
      <c r="X378" s="2">
        <v>15</v>
      </c>
      <c r="Y378">
        <f t="shared" si="10"/>
        <v>3</v>
      </c>
      <c r="Z378">
        <f t="shared" si="11"/>
        <v>5</v>
      </c>
    </row>
    <row r="379" spans="1:26" x14ac:dyDescent="0.25">
      <c r="A379" s="2" t="s">
        <v>783</v>
      </c>
      <c r="B379" s="8">
        <v>54</v>
      </c>
      <c r="C379" s="2" t="s">
        <v>25</v>
      </c>
      <c r="D379" s="8" t="s">
        <v>28</v>
      </c>
      <c r="E379" s="2">
        <v>17</v>
      </c>
      <c r="F379" s="2">
        <v>5</v>
      </c>
      <c r="G379" s="2">
        <v>33</v>
      </c>
      <c r="H379" s="2"/>
      <c r="I379" s="2">
        <v>44</v>
      </c>
      <c r="J379" s="2"/>
      <c r="K379" s="2">
        <v>29</v>
      </c>
      <c r="L379" s="2" t="s">
        <v>21</v>
      </c>
      <c r="M379" s="2">
        <v>1</v>
      </c>
      <c r="N379" s="2">
        <v>0</v>
      </c>
      <c r="O379" s="2">
        <v>0</v>
      </c>
      <c r="P379" s="2">
        <v>0</v>
      </c>
      <c r="Q379" s="2">
        <v>0</v>
      </c>
      <c r="R379" s="2">
        <v>1</v>
      </c>
      <c r="S379" s="2"/>
      <c r="T379" s="2"/>
      <c r="U379" s="2"/>
      <c r="V379" s="2"/>
      <c r="W379" s="2"/>
      <c r="X379" s="2"/>
      <c r="Y379">
        <f t="shared" si="10"/>
        <v>1</v>
      </c>
      <c r="Z379">
        <f t="shared" si="11"/>
        <v>1</v>
      </c>
    </row>
    <row r="380" spans="1:26" x14ac:dyDescent="0.25">
      <c r="A380" s="2" t="s">
        <v>784</v>
      </c>
      <c r="B380" s="8">
        <v>55</v>
      </c>
      <c r="C380" s="2" t="s">
        <v>25</v>
      </c>
      <c r="D380" s="8" t="s">
        <v>28</v>
      </c>
      <c r="E380" s="2">
        <v>23</v>
      </c>
      <c r="F380" s="2">
        <v>20</v>
      </c>
      <c r="G380" s="2">
        <v>26</v>
      </c>
      <c r="H380" s="2"/>
      <c r="I380" s="2">
        <v>63</v>
      </c>
      <c r="J380" s="2"/>
      <c r="K380" s="2">
        <v>32</v>
      </c>
      <c r="L380" s="2">
        <v>233</v>
      </c>
      <c r="M380" s="2">
        <v>6</v>
      </c>
      <c r="N380" s="2">
        <v>0</v>
      </c>
      <c r="O380" s="2">
        <v>0</v>
      </c>
      <c r="P380" s="2">
        <v>0</v>
      </c>
      <c r="Q380" s="2">
        <v>0</v>
      </c>
      <c r="R380" s="2">
        <v>20</v>
      </c>
      <c r="S380" s="2"/>
      <c r="T380" s="2"/>
      <c r="U380" s="2"/>
      <c r="V380" s="2"/>
      <c r="W380" s="2"/>
      <c r="X380" s="2"/>
      <c r="Y380">
        <f t="shared" si="10"/>
        <v>6</v>
      </c>
      <c r="Z380">
        <f t="shared" si="11"/>
        <v>3.3333333333333335</v>
      </c>
    </row>
    <row r="381" spans="1:26" x14ac:dyDescent="0.25">
      <c r="A381" s="2" t="s">
        <v>785</v>
      </c>
      <c r="B381" s="8">
        <v>56</v>
      </c>
      <c r="C381" s="2" t="s">
        <v>25</v>
      </c>
      <c r="D381" s="8" t="s">
        <v>28</v>
      </c>
      <c r="E381" s="2">
        <v>19.5</v>
      </c>
      <c r="F381" s="2">
        <v>17</v>
      </c>
      <c r="G381" s="2">
        <v>57</v>
      </c>
      <c r="H381" s="2">
        <v>95</v>
      </c>
      <c r="I381" s="2">
        <v>68</v>
      </c>
      <c r="J381" s="2">
        <v>75</v>
      </c>
      <c r="K381" s="2">
        <v>33</v>
      </c>
      <c r="L381" s="2" t="s">
        <v>21</v>
      </c>
      <c r="M381" s="2">
        <v>2</v>
      </c>
      <c r="N381" s="2">
        <v>1</v>
      </c>
      <c r="O381" s="2">
        <v>0</v>
      </c>
      <c r="P381" s="2">
        <v>0</v>
      </c>
      <c r="Q381" s="2">
        <v>0</v>
      </c>
      <c r="R381" s="2">
        <v>9</v>
      </c>
      <c r="S381" s="2">
        <v>6</v>
      </c>
      <c r="T381" s="2">
        <v>1</v>
      </c>
      <c r="U381" s="2">
        <v>0</v>
      </c>
      <c r="V381" s="2">
        <v>0</v>
      </c>
      <c r="W381" s="2">
        <v>0</v>
      </c>
      <c r="X381" s="2">
        <v>31</v>
      </c>
      <c r="Y381">
        <f t="shared" si="10"/>
        <v>10</v>
      </c>
      <c r="Z381">
        <f t="shared" si="11"/>
        <v>4</v>
      </c>
    </row>
    <row r="382" spans="1:26" x14ac:dyDescent="0.25">
      <c r="A382" s="2" t="s">
        <v>786</v>
      </c>
      <c r="B382" s="8">
        <v>57</v>
      </c>
      <c r="C382" s="2" t="s">
        <v>25</v>
      </c>
      <c r="D382" s="8" t="s">
        <v>28</v>
      </c>
      <c r="E382" s="2">
        <v>20</v>
      </c>
      <c r="F382" s="2">
        <v>19</v>
      </c>
      <c r="G382" s="2">
        <v>9</v>
      </c>
      <c r="H382" s="2">
        <v>20</v>
      </c>
      <c r="I382" s="2">
        <v>28</v>
      </c>
      <c r="J382" s="2">
        <v>27</v>
      </c>
      <c r="K382" s="2">
        <v>33</v>
      </c>
      <c r="L382" s="2" t="s">
        <v>21</v>
      </c>
      <c r="M382" s="2">
        <v>1</v>
      </c>
      <c r="N382" s="2">
        <v>0</v>
      </c>
      <c r="O382" s="2">
        <v>0</v>
      </c>
      <c r="P382" s="2">
        <v>0</v>
      </c>
      <c r="Q382" s="2">
        <v>0</v>
      </c>
      <c r="R382" s="2">
        <v>2</v>
      </c>
      <c r="S382" s="2">
        <v>0</v>
      </c>
      <c r="T382" s="2">
        <v>1</v>
      </c>
      <c r="U382" s="2">
        <v>0</v>
      </c>
      <c r="V382" s="2">
        <v>0</v>
      </c>
      <c r="W382" s="2">
        <v>0</v>
      </c>
      <c r="X382" s="2">
        <v>1</v>
      </c>
      <c r="Y382">
        <f t="shared" si="10"/>
        <v>2</v>
      </c>
      <c r="Z382">
        <f t="shared" si="11"/>
        <v>1.5</v>
      </c>
    </row>
    <row r="383" spans="1:26" x14ac:dyDescent="0.25">
      <c r="A383" s="2" t="s">
        <v>787</v>
      </c>
      <c r="B383" s="8">
        <v>58</v>
      </c>
      <c r="C383" s="2" t="s">
        <v>25</v>
      </c>
      <c r="D383" s="8" t="s">
        <v>28</v>
      </c>
      <c r="E383" s="2">
        <v>22</v>
      </c>
      <c r="F383" s="2">
        <v>1</v>
      </c>
      <c r="G383" s="2">
        <v>25</v>
      </c>
      <c r="H383" s="2">
        <v>22</v>
      </c>
      <c r="I383" s="2">
        <v>37</v>
      </c>
      <c r="J383" s="2">
        <v>38</v>
      </c>
      <c r="K383" s="2">
        <v>35</v>
      </c>
      <c r="L383" s="2" t="s">
        <v>21</v>
      </c>
      <c r="M383" s="2">
        <v>2</v>
      </c>
      <c r="N383" s="2">
        <v>0</v>
      </c>
      <c r="O383" s="2">
        <v>0</v>
      </c>
      <c r="P383" s="2">
        <v>0</v>
      </c>
      <c r="Q383" s="2">
        <v>0</v>
      </c>
      <c r="R383" s="2">
        <v>5</v>
      </c>
      <c r="S383" s="2">
        <v>4</v>
      </c>
      <c r="T383" s="2">
        <v>0</v>
      </c>
      <c r="U383" s="2">
        <v>0</v>
      </c>
      <c r="V383" s="2">
        <v>0</v>
      </c>
      <c r="W383" s="2">
        <v>0</v>
      </c>
      <c r="X383" s="2">
        <v>9</v>
      </c>
      <c r="Y383">
        <f t="shared" si="10"/>
        <v>6</v>
      </c>
      <c r="Z383">
        <f t="shared" si="11"/>
        <v>2.3333333333333335</v>
      </c>
    </row>
    <row r="384" spans="1:26" x14ac:dyDescent="0.25">
      <c r="A384" s="2" t="s">
        <v>788</v>
      </c>
      <c r="B384" s="8">
        <v>59</v>
      </c>
      <c r="C384" s="2" t="s">
        <v>25</v>
      </c>
      <c r="D384" s="8" t="s">
        <v>28</v>
      </c>
      <c r="E384" s="2">
        <v>14.5</v>
      </c>
      <c r="F384" s="2">
        <v>17</v>
      </c>
      <c r="G384" s="2">
        <v>54</v>
      </c>
      <c r="H384" s="2">
        <v>84</v>
      </c>
      <c r="I384" s="2">
        <v>62</v>
      </c>
      <c r="J384" s="2">
        <v>64</v>
      </c>
      <c r="K384" s="2">
        <v>34</v>
      </c>
      <c r="L384" s="2" t="s">
        <v>21</v>
      </c>
      <c r="M384" s="2">
        <v>1</v>
      </c>
      <c r="N384" s="2">
        <v>0</v>
      </c>
      <c r="O384" s="2">
        <v>0</v>
      </c>
      <c r="P384" s="2">
        <v>0</v>
      </c>
      <c r="Q384" s="2">
        <v>0</v>
      </c>
      <c r="R384" s="2">
        <v>1</v>
      </c>
      <c r="S384" s="2">
        <v>3</v>
      </c>
      <c r="T384" s="2">
        <v>0</v>
      </c>
      <c r="U384" s="2">
        <v>0</v>
      </c>
      <c r="V384" s="2">
        <v>0</v>
      </c>
      <c r="W384" s="2">
        <v>0</v>
      </c>
      <c r="X384" s="2">
        <v>28</v>
      </c>
      <c r="Y384">
        <f t="shared" si="10"/>
        <v>4</v>
      </c>
      <c r="Z384">
        <f t="shared" si="11"/>
        <v>7.25</v>
      </c>
    </row>
    <row r="385" spans="1:26" x14ac:dyDescent="0.25">
      <c r="A385" s="2" t="s">
        <v>789</v>
      </c>
      <c r="B385" s="8">
        <v>60</v>
      </c>
      <c r="C385" s="2" t="s">
        <v>25</v>
      </c>
      <c r="D385" s="8" t="s">
        <v>28</v>
      </c>
      <c r="E385" s="2">
        <v>19.5</v>
      </c>
      <c r="F385" s="2">
        <v>18</v>
      </c>
      <c r="G385" s="2">
        <v>31</v>
      </c>
      <c r="H385" s="2">
        <v>46</v>
      </c>
      <c r="I385" s="2">
        <v>72</v>
      </c>
      <c r="J385" s="2">
        <v>72</v>
      </c>
      <c r="K385" s="2">
        <v>31</v>
      </c>
      <c r="L385" s="2">
        <v>405</v>
      </c>
      <c r="M385" s="2">
        <v>3</v>
      </c>
      <c r="N385" s="2">
        <v>0</v>
      </c>
      <c r="O385" s="2">
        <v>0</v>
      </c>
      <c r="P385" s="2">
        <v>0</v>
      </c>
      <c r="Q385" s="2">
        <v>0</v>
      </c>
      <c r="R385" s="2">
        <v>4</v>
      </c>
      <c r="S385" s="2">
        <v>2</v>
      </c>
      <c r="T385" s="2">
        <v>0</v>
      </c>
      <c r="U385" s="2">
        <v>0</v>
      </c>
      <c r="V385" s="2">
        <v>0</v>
      </c>
      <c r="W385" s="2">
        <v>0</v>
      </c>
      <c r="X385" s="2">
        <v>5</v>
      </c>
      <c r="Y385">
        <f t="shared" si="10"/>
        <v>5</v>
      </c>
      <c r="Z385">
        <f t="shared" si="11"/>
        <v>1.8</v>
      </c>
    </row>
    <row r="386" spans="1:26" x14ac:dyDescent="0.25">
      <c r="A386" s="2" t="s">
        <v>790</v>
      </c>
      <c r="B386" s="8">
        <v>61</v>
      </c>
      <c r="C386" s="2" t="s">
        <v>25</v>
      </c>
      <c r="D386" s="8" t="s">
        <v>28</v>
      </c>
      <c r="E386" s="2">
        <v>25.5</v>
      </c>
      <c r="F386" s="2">
        <v>10</v>
      </c>
      <c r="G386" s="2"/>
      <c r="H386" s="2">
        <v>10</v>
      </c>
      <c r="I386" s="2"/>
      <c r="J386" s="2">
        <v>52</v>
      </c>
      <c r="K386" s="2">
        <v>31</v>
      </c>
      <c r="L386" s="2">
        <v>206</v>
      </c>
      <c r="M386" s="2"/>
      <c r="N386" s="2"/>
      <c r="O386" s="2"/>
      <c r="P386" s="2"/>
      <c r="Q386" s="2"/>
      <c r="R386" s="2"/>
      <c r="S386" s="2">
        <v>2</v>
      </c>
      <c r="T386" s="2">
        <v>0</v>
      </c>
      <c r="U386" s="2">
        <v>0</v>
      </c>
      <c r="V386" s="2">
        <v>0</v>
      </c>
      <c r="W386" s="2">
        <v>0</v>
      </c>
      <c r="X386" s="2">
        <v>8</v>
      </c>
      <c r="Y386">
        <f t="shared" si="10"/>
        <v>2</v>
      </c>
      <c r="Z386">
        <f t="shared" si="11"/>
        <v>4</v>
      </c>
    </row>
    <row r="387" spans="1:26" x14ac:dyDescent="0.25">
      <c r="A387" s="2" t="s">
        <v>762</v>
      </c>
      <c r="B387" s="8" t="s">
        <v>763</v>
      </c>
      <c r="C387" s="2" t="s">
        <v>25</v>
      </c>
      <c r="D387" s="8" t="s">
        <v>28</v>
      </c>
      <c r="E387" s="2">
        <v>21</v>
      </c>
      <c r="F387" s="2">
        <v>10</v>
      </c>
      <c r="G387" s="2"/>
      <c r="H387" s="2">
        <v>20</v>
      </c>
      <c r="I387" s="2"/>
      <c r="J387" s="2">
        <v>51</v>
      </c>
      <c r="K387" s="2">
        <v>37</v>
      </c>
      <c r="L387" s="2">
        <v>199</v>
      </c>
      <c r="M387" s="2"/>
      <c r="N387" s="2"/>
      <c r="O387" s="2"/>
      <c r="P387" s="2"/>
      <c r="Q387" s="2"/>
      <c r="R387" s="2"/>
      <c r="S387" s="2">
        <v>0</v>
      </c>
      <c r="T387" s="2">
        <v>0</v>
      </c>
      <c r="U387" s="2">
        <v>2</v>
      </c>
      <c r="V387" s="2">
        <v>0</v>
      </c>
      <c r="W387" s="2">
        <v>0</v>
      </c>
      <c r="X387" s="2">
        <v>4</v>
      </c>
      <c r="Y387">
        <f t="shared" ref="Y387:Y388" si="12">SUM(M387:Q387,S387:W387)</f>
        <v>2</v>
      </c>
      <c r="Z387">
        <f t="shared" ref="Z387:Z388" si="13">(R387+X387) / (SUM(M387:Q387) + (SUM(S387:W387)))</f>
        <v>2</v>
      </c>
    </row>
    <row r="388" spans="1:26" x14ac:dyDescent="0.25">
      <c r="A388" s="2" t="s">
        <v>768</v>
      </c>
      <c r="B388" s="8" t="s">
        <v>769</v>
      </c>
      <c r="C388" s="2" t="s">
        <v>25</v>
      </c>
      <c r="D388" s="8" t="s">
        <v>28</v>
      </c>
      <c r="E388" s="2">
        <v>13.5</v>
      </c>
      <c r="F388" s="2">
        <v>11</v>
      </c>
      <c r="G388" s="2">
        <v>22</v>
      </c>
      <c r="H388" s="2"/>
      <c r="I388" s="2">
        <v>56</v>
      </c>
      <c r="J388" s="2"/>
      <c r="K388" s="2">
        <v>32</v>
      </c>
      <c r="L388" s="2">
        <v>213</v>
      </c>
      <c r="M388" s="2">
        <v>2</v>
      </c>
      <c r="N388" s="2">
        <v>0</v>
      </c>
      <c r="O388" s="2">
        <v>0</v>
      </c>
      <c r="P388" s="2">
        <v>0</v>
      </c>
      <c r="Q388" s="2">
        <v>0</v>
      </c>
      <c r="R388" s="2">
        <v>5</v>
      </c>
      <c r="S388" s="2"/>
      <c r="T388" s="2"/>
      <c r="U388" s="2"/>
      <c r="V388" s="2"/>
      <c r="W388" s="2"/>
      <c r="X388" s="2"/>
      <c r="Y388">
        <f t="shared" si="12"/>
        <v>2</v>
      </c>
      <c r="Z388">
        <f t="shared" si="13"/>
        <v>2.5</v>
      </c>
    </row>
  </sheetData>
  <sortState xmlns:xlrd2="http://schemas.microsoft.com/office/spreadsheetml/2017/richdata2" ref="A2:X388">
    <sortCondition ref="D1:D388"/>
  </sortState>
  <conditionalFormatting sqref="A1:A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</dc:creator>
  <cp:lastModifiedBy>Daan</cp:lastModifiedBy>
  <dcterms:created xsi:type="dcterms:W3CDTF">2015-06-05T18:17:20Z</dcterms:created>
  <dcterms:modified xsi:type="dcterms:W3CDTF">2023-05-25T00:50:51Z</dcterms:modified>
</cp:coreProperties>
</file>